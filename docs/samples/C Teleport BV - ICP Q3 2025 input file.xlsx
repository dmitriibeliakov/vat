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rAlejoaquiso\Desktop\"/>
    </mc:Choice>
  </mc:AlternateContent>
  <xr:revisionPtr revIDLastSave="0" documentId="13_ncr:1_{6286001F-D43A-4287-9969-8B918E69E413}" xr6:coauthVersionLast="47" xr6:coauthVersionMax="47" xr10:uidLastSave="{00000000-0000-0000-0000-000000000000}"/>
  <bookViews>
    <workbookView xWindow="-108" yWindow="-108" windowWidth="23256" windowHeight="12456" xr2:uid="{3D79354C-B747-414A-A355-8CD9B44ACA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3" i="1" l="1"/>
  <c r="D182" i="1" l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<sst xmlns="http://schemas.openxmlformats.org/spreadsheetml/2006/main" count="549" uniqueCount="365">
  <si>
    <t>Code</t>
  </si>
  <si>
    <t>Name</t>
  </si>
  <si>
    <t>Amount</t>
  </si>
  <si>
    <t>Round</t>
  </si>
  <si>
    <t>Vat number</t>
  </si>
  <si>
    <t>Country</t>
  </si>
  <si>
    <t>AXIS Aviation Austria GmbH</t>
  </si>
  <si>
    <t>Bairline Fluggesellschaft mbH &amp; Co. KG</t>
  </si>
  <si>
    <t>JetView GmbH</t>
  </si>
  <si>
    <t>VR@SEA NV</t>
  </si>
  <si>
    <t>International Food Services NV</t>
  </si>
  <si>
    <t>GEOxyz bvba</t>
  </si>
  <si>
    <t>Geo Aqua bvba</t>
  </si>
  <si>
    <t>Fugro Belgium BV</t>
  </si>
  <si>
    <t>Hit Tourism LTD</t>
  </si>
  <si>
    <t>Wind Shipping Ltd.</t>
  </si>
  <si>
    <t>Visitship Ltd</t>
  </si>
  <si>
    <t>Marine Air Split</t>
  </si>
  <si>
    <t>Marine Air Zagreb</t>
  </si>
  <si>
    <t>Marine Air Rijeka</t>
  </si>
  <si>
    <t>Ocean Advice Ltd.</t>
  </si>
  <si>
    <t>Asia Marine Philippines</t>
  </si>
  <si>
    <t>Atlas Inexco CY Ltd.</t>
  </si>
  <si>
    <t>Lowland International Shipping Cyprus Ltd</t>
  </si>
  <si>
    <t>Scylla Gastro Ltd</t>
  </si>
  <si>
    <t>GOSS (Global Oilfield Support Service) Ltd.</t>
  </si>
  <si>
    <t>OPEN OCEAN SERVICES LTD</t>
  </si>
  <si>
    <t>Martracon Crewmanagement Ltd</t>
  </si>
  <si>
    <t>Unipolar Shipping Limited</t>
  </si>
  <si>
    <t>Spectrum Shipping Ltd</t>
  </si>
  <si>
    <t>Caribbean Shipping Ltd</t>
  </si>
  <si>
    <t>Waterway Shipping Ltd</t>
  </si>
  <si>
    <t>Delphinus Chartering Ltd</t>
  </si>
  <si>
    <t>Reederei Nord Shipmanagement Ltd.</t>
  </si>
  <si>
    <t>Safe Bulkers Management Ltd</t>
  </si>
  <si>
    <t>SEACREW MANAGEMENT LTD</t>
  </si>
  <si>
    <t>SMT SHIPPING (CYPRUS ) LTD</t>
  </si>
  <si>
    <t>Cymare Shipmanagement Ltd</t>
  </si>
  <si>
    <t>Scylla Nautic Ltd</t>
  </si>
  <si>
    <t>Martracon Shipmanagement Ltd.</t>
  </si>
  <si>
    <t>InterArma Ltd</t>
  </si>
  <si>
    <t>Henley Travel LTD</t>
  </si>
  <si>
    <t>Iqrew Management Ltd</t>
  </si>
  <si>
    <t>TORM A/S</t>
  </si>
  <si>
    <t>Ship 102 ApS</t>
  </si>
  <si>
    <t>Terntank Rederi A/S</t>
  </si>
  <si>
    <t>Cyan Renewables Aps</t>
  </si>
  <si>
    <t>Cyan Renewables ac1  Aps</t>
  </si>
  <si>
    <t>SHIP 103 ApS</t>
  </si>
  <si>
    <t>MSI Group Aps</t>
  </si>
  <si>
    <t>Svendborg Bugser A/S</t>
  </si>
  <si>
    <t>MHO Operations ApS</t>
  </si>
  <si>
    <t>Ocean Zephyr ApS</t>
  </si>
  <si>
    <t>Amisco AS</t>
  </si>
  <si>
    <t>Atrica-Marine OU</t>
  </si>
  <si>
    <t>Swaileap OÜ LSA</t>
  </si>
  <si>
    <t>Swaileap ou FFE</t>
  </si>
  <si>
    <t>FinMetalock</t>
  </si>
  <si>
    <t>TS Shipping OÜ</t>
  </si>
  <si>
    <t>JELENA MARINE Ltd</t>
  </si>
  <si>
    <t>HFH Grupp OÜ</t>
  </si>
  <si>
    <t>Tschudi Ship Management AS</t>
  </si>
  <si>
    <t>Klip Marine Shipmanagement Ltd</t>
  </si>
  <si>
    <t>Bahrain Mineral Co. W.L.L</t>
  </si>
  <si>
    <t>Kingdom Sand Dredging &amp; Washing Co.</t>
  </si>
  <si>
    <t>Bridgemans Trinidad Limited Partnership</t>
  </si>
  <si>
    <t>OU VLM REPAIR</t>
  </si>
  <si>
    <t>ESL Shipping Oy</t>
  </si>
  <si>
    <t>Rederi ab Nathalie</t>
  </si>
  <si>
    <t>ARMAX TECH SAS</t>
  </si>
  <si>
    <t>Exploris</t>
  </si>
  <si>
    <t>Exploris Paris</t>
  </si>
  <si>
    <t>GeoXYZ sarl</t>
  </si>
  <si>
    <t>COMPAGNIE DU PONANT</t>
  </si>
  <si>
    <t>UHL Crewing GmbH</t>
  </si>
  <si>
    <t>Freudenberg Technische Ausrüstung GmbH</t>
  </si>
  <si>
    <t>VestVind II GmbH &amp; Co. KG</t>
  </si>
  <si>
    <t>KG MS CPO VENEZIA Offen Reederei GmbH &amp; Co. c/o CP</t>
  </si>
  <si>
    <t>KG MS CPO LA SPEZIA Offen Reederei UG (haftungsbes</t>
  </si>
  <si>
    <t>KG MS CPO NAPOLI Offen Reederei UG (haftungsbeschr</t>
  </si>
  <si>
    <t>KG MS 2. CPO Savona Offen Reederei UG (haftungsbes</t>
  </si>
  <si>
    <t>EMS Crewing GmbH</t>
  </si>
  <si>
    <t>KG MS CPO ALICANTE Offen Reederei GmbH &amp; Co c/o CP</t>
  </si>
  <si>
    <t>MS "Porto" GmbH &amp; Co. KG</t>
  </si>
  <si>
    <t>YARA LPG Shipping AS</t>
  </si>
  <si>
    <t>Gram Car Carriers Shipowning AS</t>
  </si>
  <si>
    <t>M2L Pacific S.A.</t>
  </si>
  <si>
    <t>Reederei F. Laeisz GmbH</t>
  </si>
  <si>
    <t>Axxaz Europe GmbH</t>
  </si>
  <si>
    <t>MS "PolarPacific" GmbH &amp; Co. KG</t>
  </si>
  <si>
    <t>Davit-Company GmbH &amp; W. Harms</t>
  </si>
  <si>
    <t>Andreas Zerr</t>
  </si>
  <si>
    <t>MS "Pagna" GmbH &amp; Co. KG</t>
  </si>
  <si>
    <t>KG MS CPO TRIESTE Offen Reederei GmbH &amp; Co c/o CPO</t>
  </si>
  <si>
    <t>CPO Crewing GmbH &amp; Co. KG  for MV Santa Laetitia -</t>
  </si>
  <si>
    <t>CPO Crewing GmbH &amp; Co. KG for MV CONTI CRYSTAL - 2</t>
  </si>
  <si>
    <t>CPO Crewing GmbH &amp; Co. KG for MV CONTI COURAGE - 2</t>
  </si>
  <si>
    <t>NSB Niederelbe Schiffahrts GmbH &amp; Co.KG</t>
  </si>
  <si>
    <t>KG MS CPO BARCELONA Offen Reederei UG (haftungsbes</t>
  </si>
  <si>
    <t>KG MS CPO BILBAO Offen Reederei GmbH &amp; Co c/o CPO</t>
  </si>
  <si>
    <t>Vertom Bereederungs GmbH &amp; Co. KG</t>
  </si>
  <si>
    <t>CSN Crane Service North GmbH &amp; Co. KG</t>
  </si>
  <si>
    <t>Nordic Cruise Management GmbH &amp; Co. KG</t>
  </si>
  <si>
    <t>Hansa Safety Services GmbH</t>
  </si>
  <si>
    <t>GP Care Solutions GmbH</t>
  </si>
  <si>
    <t>CPO Crewing GmbH &amp; Co. KG for RDO Brest - 2524</t>
  </si>
  <si>
    <t>CPO Crewing GmbH &amp; Co. KG for MV RDO Ace - 2520</t>
  </si>
  <si>
    <t>CPO Crewing GmbH &amp; Co. KG for RDO Brisbane - 2526</t>
  </si>
  <si>
    <t>Air Partner International GmbH</t>
  </si>
  <si>
    <t>PractiGo GmbH</t>
  </si>
  <si>
    <t>CPO Crewing GmbH &amp; Co. KG forRDO Endeavour - 2522</t>
  </si>
  <si>
    <t>Nordic Maritime Solutions GmbH &amp; CO. KG</t>
  </si>
  <si>
    <t>Martide Holding GmbH</t>
  </si>
  <si>
    <t>Vertom-Bojen Schiffahrts MS “Störtebeker” GmbH &amp; C</t>
  </si>
  <si>
    <t>MS BSG Bahamas GmbH &amp; Co.KG c/o CPO Crewing GmbH &amp;</t>
  </si>
  <si>
    <t>Vertom-Bojen Schiffahrts MS “Gata Noneka” GmbH &amp; C</t>
  </si>
  <si>
    <t>CPO Crewing GmbH &amp; Co. KG for RDO Grace - 2528</t>
  </si>
  <si>
    <t>MS BSG Bimini GmbH &amp; Co.KG  c/o CPO Crewing GmbH &amp;</t>
  </si>
  <si>
    <t>Vertom Monika GmbH &amp; Co KG</t>
  </si>
  <si>
    <t>Vertom-Bojen Schiffahrts MS “Celine” GmbH &amp; Co. KG</t>
  </si>
  <si>
    <t>Nordic Hamburg Crewing Services GmbH</t>
  </si>
  <si>
    <t>NSB Crewing Solutions</t>
  </si>
  <si>
    <t>NSB Reederei GmbH &amp; Co. Kg</t>
  </si>
  <si>
    <t>United Engineering Solutions GmbH</t>
  </si>
  <si>
    <t>USC Crew GmbH</t>
  </si>
  <si>
    <t>UVIS UG (haftungsbeschraenkt)</t>
  </si>
  <si>
    <t>Scheibert &amp; Meissner Personalberatung GbR</t>
  </si>
  <si>
    <t>GoodCrew GmbH</t>
  </si>
  <si>
    <t>over-C Crewing GmbH &amp; Co. KG</t>
  </si>
  <si>
    <t>United Wind Logistics GmbH &amp; Co KG</t>
  </si>
  <si>
    <t>VestVind I GmbH &amp; Co. KG</t>
  </si>
  <si>
    <t>VestVind III GmbH &amp; Co. KG</t>
  </si>
  <si>
    <t>United Shipping Group GmbH &amp; Co. KG</t>
  </si>
  <si>
    <t>AMARO Travel GmbH</t>
  </si>
  <si>
    <t>Fleet Air International Kft.</t>
  </si>
  <si>
    <t>Pacific Blue Ltd</t>
  </si>
  <si>
    <t>OMEGA S.R.L.</t>
  </si>
  <si>
    <t>Furtrans Tanker &amp; Ship Management S.r.l</t>
  </si>
  <si>
    <t>UNION AVIATION AS</t>
  </si>
  <si>
    <t>SIA Travel Club</t>
  </si>
  <si>
    <t>SIA OJ Travel</t>
  </si>
  <si>
    <t>Crewplanet SIA -CBED</t>
  </si>
  <si>
    <t>Martide Manning Latvia SIA</t>
  </si>
  <si>
    <t>RIX Shipmanagement LTD</t>
  </si>
  <si>
    <t>SIA OJ CREW RIGA</t>
  </si>
  <si>
    <t>Crewplanet SIA</t>
  </si>
  <si>
    <t>BALTNAUTIC SHIPPING LTD</t>
  </si>
  <si>
    <t>SHIPLUX I S.A.</t>
  </si>
  <si>
    <t>Luxaviation Management Company SA</t>
  </si>
  <si>
    <t>GEO@SEA Luxembourg S.A.</t>
  </si>
  <si>
    <t>DC Aviation Ltd.</t>
  </si>
  <si>
    <t>CldN Malta Ltd.</t>
  </si>
  <si>
    <t>Quinto Tankers Ltd</t>
  </si>
  <si>
    <t>Quarto Tankers Ltd  - 25/16 Vincenti Buildings</t>
  </si>
  <si>
    <t>ZuluWaves Limited</t>
  </si>
  <si>
    <t>FT Portoria Tankers Ltd</t>
  </si>
  <si>
    <t>Elit’Avia Malta Ltd</t>
  </si>
  <si>
    <t>Hans Travel Ltd</t>
  </si>
  <si>
    <t>Air Vitosha Ltd</t>
  </si>
  <si>
    <t>Bayard Charter Services Limited No 2 Ltd</t>
  </si>
  <si>
    <t>Furtrans Tanker Holdings Ltd</t>
  </si>
  <si>
    <t>Yacht Surveys (Malta) Ltd.</t>
  </si>
  <si>
    <t>SL Ship Management Ltd</t>
  </si>
  <si>
    <t>Atlantis Tankers Group (Malta) Ltd.</t>
  </si>
  <si>
    <t>ZondaJet.com Sp. z o.o.</t>
  </si>
  <si>
    <t>Lukasz Podlinski</t>
  </si>
  <si>
    <t>S&amp;C - Gestão de Navios e Tripulações, Lda.</t>
  </si>
  <si>
    <t>Tulipa Management LDA</t>
  </si>
  <si>
    <t>Tulipa Mensageira LDA</t>
  </si>
  <si>
    <t>Afonso Ferreira Faria unipessoal LDa</t>
  </si>
  <si>
    <t>S.C. TOYO AVIATION S.R.L.</t>
  </si>
  <si>
    <t>JET ADVISOR</t>
  </si>
  <si>
    <t>Espana Rope Access Solutions SL</t>
  </si>
  <si>
    <t>Zumaia Offshore, S.L.</t>
  </si>
  <si>
    <t>ERZOFF-SHORE, S.L.</t>
  </si>
  <si>
    <t>Rederi AB Donsötank - EUR</t>
  </si>
  <si>
    <t>Q Workforce</t>
  </si>
  <si>
    <t>Sirius Shipping</t>
  </si>
  <si>
    <t>C Survey</t>
  </si>
  <si>
    <t>West Atlantic Sweden AB</t>
  </si>
  <si>
    <t>Fjordtank Rederi AB</t>
  </si>
  <si>
    <t>HF Interior AB</t>
  </si>
  <si>
    <t>OljOla Shipping AB</t>
  </si>
  <si>
    <t>Linnea Shipping A/S</t>
  </si>
  <si>
    <t>Rederi AB Väderötank</t>
  </si>
  <si>
    <t>VERITAS MANAGEMENT AB</t>
  </si>
  <si>
    <t>C Teleport AS</t>
  </si>
  <si>
    <t>LV40203039827</t>
  </si>
  <si>
    <t>Latvia</t>
  </si>
  <si>
    <t>DE291870147</t>
  </si>
  <si>
    <t>DE335400821</t>
  </si>
  <si>
    <t>DK21792802</t>
  </si>
  <si>
    <t>DK38948563</t>
  </si>
  <si>
    <t>DK41294574</t>
  </si>
  <si>
    <t>EE100100240</t>
  </si>
  <si>
    <t>EE100218912</t>
  </si>
  <si>
    <t>EE102074617</t>
  </si>
  <si>
    <t>EE101329758</t>
  </si>
  <si>
    <t>EE101597632</t>
  </si>
  <si>
    <t>EE101033617</t>
  </si>
  <si>
    <t>EE101584289</t>
  </si>
  <si>
    <t>EE100708642</t>
  </si>
  <si>
    <t>EE101606918</t>
  </si>
  <si>
    <t>FI02011264</t>
  </si>
  <si>
    <t>FI22811672</t>
  </si>
  <si>
    <t>FR84894430040</t>
  </si>
  <si>
    <t>FR89900217191</t>
  </si>
  <si>
    <t>FR90507902211</t>
  </si>
  <si>
    <t>FR83344497011</t>
  </si>
  <si>
    <t>DE330510394</t>
  </si>
  <si>
    <t>DE811743044</t>
  </si>
  <si>
    <t>DE340368408</t>
  </si>
  <si>
    <t>DE256596537</t>
  </si>
  <si>
    <t>DE298771680</t>
  </si>
  <si>
    <t>DE262060886</t>
  </si>
  <si>
    <t>DE257260643</t>
  </si>
  <si>
    <t>DE268666348</t>
  </si>
  <si>
    <t>DE811585869</t>
  </si>
  <si>
    <t>ATU78323306</t>
  </si>
  <si>
    <t>Austria</t>
  </si>
  <si>
    <t>ATU66132909</t>
  </si>
  <si>
    <t>ATU78020035</t>
  </si>
  <si>
    <t>BE0688992186</t>
  </si>
  <si>
    <t>Belgium</t>
  </si>
  <si>
    <t>BE0472409202</t>
  </si>
  <si>
    <t>BE0465233774</t>
  </si>
  <si>
    <t>BE0890302622</t>
  </si>
  <si>
    <t>BE0403026288</t>
  </si>
  <si>
    <t>Bulgaria</t>
  </si>
  <si>
    <t>BG103594726</t>
  </si>
  <si>
    <t>BG205047575</t>
  </si>
  <si>
    <t>BG204690910</t>
  </si>
  <si>
    <t>HR90789004458</t>
  </si>
  <si>
    <t>Croatia</t>
  </si>
  <si>
    <t>CY10438212J</t>
  </si>
  <si>
    <t>Cyprus</t>
  </si>
  <si>
    <t>CY10342881S</t>
  </si>
  <si>
    <t>CY10342092N</t>
  </si>
  <si>
    <t>CY10252740F</t>
  </si>
  <si>
    <t>CY10318112E</t>
  </si>
  <si>
    <t>CY10147564T</t>
  </si>
  <si>
    <t>CY60083461Z</t>
  </si>
  <si>
    <t>CY10303314V</t>
  </si>
  <si>
    <t>CY10344686Z</t>
  </si>
  <si>
    <t>CY99000170Y</t>
  </si>
  <si>
    <t>CY10205318D</t>
  </si>
  <si>
    <t>CY10039349U</t>
  </si>
  <si>
    <t>CY10309832T</t>
  </si>
  <si>
    <t>CY10338093B</t>
  </si>
  <si>
    <t>CY10073760L</t>
  </si>
  <si>
    <t>CY10375758D</t>
  </si>
  <si>
    <t>CY10110942W</t>
  </si>
  <si>
    <t>CY10405597D</t>
  </si>
  <si>
    <t>DK22460218</t>
  </si>
  <si>
    <t>Denmark</t>
  </si>
  <si>
    <t>DK43303384</t>
  </si>
  <si>
    <t>DK34584362</t>
  </si>
  <si>
    <t>DK43887904</t>
  </si>
  <si>
    <t>DK43958496</t>
  </si>
  <si>
    <t>DK40344446</t>
  </si>
  <si>
    <t>DK33238959</t>
  </si>
  <si>
    <t>Estonia</t>
  </si>
  <si>
    <t>Finland</t>
  </si>
  <si>
    <t>France</t>
  </si>
  <si>
    <t>Germany</t>
  </si>
  <si>
    <t>DE296988120</t>
  </si>
  <si>
    <t>DE275633887</t>
  </si>
  <si>
    <t>DE221230922</t>
  </si>
  <si>
    <t>DE261459100</t>
  </si>
  <si>
    <t>DE256596545</t>
  </si>
  <si>
    <t>DE116474094</t>
  </si>
  <si>
    <t>DE257260660</t>
  </si>
  <si>
    <t>DE300871119</t>
  </si>
  <si>
    <t>DE293561563</t>
  </si>
  <si>
    <t>DE362363142</t>
  </si>
  <si>
    <t>DE284814823</t>
  </si>
  <si>
    <t>DE322179714</t>
  </si>
  <si>
    <t>DE249771948</t>
  </si>
  <si>
    <t>DE184629207</t>
  </si>
  <si>
    <t>DE260255013</t>
  </si>
  <si>
    <t>DE307865976</t>
  </si>
  <si>
    <t>DE285660591</t>
  </si>
  <si>
    <t>DE450210277</t>
  </si>
  <si>
    <t>DE307864891</t>
  </si>
  <si>
    <t>DE346013063</t>
  </si>
  <si>
    <t>DE304762755</t>
  </si>
  <si>
    <t>DE346013071</t>
  </si>
  <si>
    <t>DE300871217</t>
  </si>
  <si>
    <t>DE815660163</t>
  </si>
  <si>
    <t>DE309948810</t>
  </si>
  <si>
    <t>DE283269969</t>
  </si>
  <si>
    <t>DE319531170</t>
  </si>
  <si>
    <t>DE274971782</t>
  </si>
  <si>
    <t>DE319612386</t>
  </si>
  <si>
    <t>DE240712065</t>
  </si>
  <si>
    <t>DE326784905</t>
  </si>
  <si>
    <t>DE321517652</t>
  </si>
  <si>
    <t>DE318886415</t>
  </si>
  <si>
    <t>DE329220926</t>
  </si>
  <si>
    <t>DE267512082</t>
  </si>
  <si>
    <t>DE309139121</t>
  </si>
  <si>
    <t>HU13819822</t>
  </si>
  <si>
    <t>Hungary</t>
  </si>
  <si>
    <t>Ireland</t>
  </si>
  <si>
    <t>IE6333494O</t>
  </si>
  <si>
    <t>IT02343130270</t>
  </si>
  <si>
    <t>Italy</t>
  </si>
  <si>
    <t>IT02122640994</t>
  </si>
  <si>
    <t>LV40203294676</t>
  </si>
  <si>
    <t>LV40003889061</t>
  </si>
  <si>
    <t>LV40003286572</t>
  </si>
  <si>
    <t>LV40003789592</t>
  </si>
  <si>
    <t>LV40203626599</t>
  </si>
  <si>
    <t>LV40103681236</t>
  </si>
  <si>
    <t>LV50203144731</t>
  </si>
  <si>
    <t>LT417071917</t>
  </si>
  <si>
    <t>Lithuania</t>
  </si>
  <si>
    <t>LU20898311</t>
  </si>
  <si>
    <t>Luxembourg</t>
  </si>
  <si>
    <t>LU26874352</t>
  </si>
  <si>
    <t>LU32235384</t>
  </si>
  <si>
    <t>MT18886308</t>
  </si>
  <si>
    <t>Malta</t>
  </si>
  <si>
    <t>MT22140026</t>
  </si>
  <si>
    <t>MT27591013</t>
  </si>
  <si>
    <t>MT27270636</t>
  </si>
  <si>
    <t>MT30851503</t>
  </si>
  <si>
    <t>MT22398518</t>
  </si>
  <si>
    <t>MT19960414</t>
  </si>
  <si>
    <t>MT2845-0014</t>
  </si>
  <si>
    <t>MT31460925</t>
  </si>
  <si>
    <t>MT29527134</t>
  </si>
  <si>
    <t>MT26731101</t>
  </si>
  <si>
    <t>MT28145619</t>
  </si>
  <si>
    <t>MT18726720</t>
  </si>
  <si>
    <t>MT21829715</t>
  </si>
  <si>
    <t>PL5252940136</t>
  </si>
  <si>
    <t>Poland</t>
  </si>
  <si>
    <t>PL5811662861</t>
  </si>
  <si>
    <t>PT502635770</t>
  </si>
  <si>
    <t>Portugal</t>
  </si>
  <si>
    <t>PT517105080</t>
  </si>
  <si>
    <t>PT517035863</t>
  </si>
  <si>
    <t>PT513880151</t>
  </si>
  <si>
    <t>RO21977513</t>
  </si>
  <si>
    <t>Romania</t>
  </si>
  <si>
    <t>RO28308419</t>
  </si>
  <si>
    <t>ESB09880675</t>
  </si>
  <si>
    <t>Spain</t>
  </si>
  <si>
    <t>ESB95442182</t>
  </si>
  <si>
    <t>SPAIN</t>
  </si>
  <si>
    <t>ESB06919351</t>
  </si>
  <si>
    <t>SE556058292501</t>
  </si>
  <si>
    <t>Sweden</t>
  </si>
  <si>
    <t>SE559200270201</t>
  </si>
  <si>
    <t>SE556772536001</t>
  </si>
  <si>
    <t>SE556782721601</t>
  </si>
  <si>
    <t>SE556062442001</t>
  </si>
  <si>
    <t>SE556633100401</t>
  </si>
  <si>
    <t>SE556844774101</t>
  </si>
  <si>
    <t>SE559151957301</t>
  </si>
  <si>
    <t>SE556405820301</t>
  </si>
  <si>
    <t>SE559003939101</t>
  </si>
  <si>
    <t>CY60023930P</t>
  </si>
  <si>
    <t>CY10113553D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</si>
</sst>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Fill="1"/>
    <xf numFmtId="0" fontId="0" fillId="0" borderId="0" xfId="0" applyFill="1" applyAlignment="1">
      <alignment horizontal="left"/>
    </xf>
    <xf numFmtId="0" fontId="0" fillId="0" borderId="0" xfId="1" applyFont="1" applyFill="1"/>
    <xf numFmtId="0" fontId="0" fillId="0" borderId="0" xfId="1" applyFont="1" applyFill="1" applyAlignment="1">
      <alignment horizontal="left"/>
    </xf>
  </cellXfs>
  <cellStyles count="2">
    <cellStyle name="Normal" xfId="0" builtinId="0"/>
    <cellStyle name="Normal 10" xfId="1" xr:uid="{01BF75AC-9A6C-4FEC-A2A8-0DCC2B5C77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5C1C-4F62-4D4A-BE3F-6A85A7F75E51}">
  <dimension ref="A1:F195"/>
  <sheetViews>
    <sheetView tabSelected="1" workbookViewId="0">
      <selection activeCell="I9" sqref="I9"/>
    </sheetView>
  </sheetViews>
  <sheetFormatPr defaultRowHeight="14.4" x14ac:dyDescent="0.3"/>
  <cols>
    <col min="1" max="1" width="17.6640625" style="1" bestFit="1" customWidth="1"/>
    <col min="2" max="2" width="51.88671875" style="1" bestFit="1" customWidth="1"/>
    <col min="3" max="3" width="12" style="1" bestFit="1" customWidth="1"/>
    <col min="4" max="4" width="7.6640625" style="1" bestFit="1" customWidth="1"/>
    <col min="5" max="5" width="16.44140625" style="1" bestFit="1" customWidth="1"/>
    <col min="6" max="6" width="11.33203125" style="1" bestFit="1" customWidth="1"/>
    <col min="7" max="16384" width="8.88671875" style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1" customFormat="1" x14ac:dyDescent="0.3">
      <c r="A2" s="2">
        <v>2358</v>
      </c>
      <c r="B2" s="1" t="s">
        <v>6</v>
      </c>
      <c r="C2" s="1">
        <v>-195.20999999999998</v>
      </c>
      <c r="D2" s="1">
        <f>ROUND(C2,0)</f>
        <v>-195</v>
      </c>
      <c r="E2" s="1" t="s">
        <v>218</v>
      </c>
      <c r="F2" s="1" t="s">
        <v>219</v>
      </c>
    </row>
    <row r="3" spans="1:6" s="1" customFormat="1" x14ac:dyDescent="0.3">
      <c r="A3" s="2">
        <v>2419</v>
      </c>
      <c r="B3" s="1" t="s">
        <v>7</v>
      </c>
      <c r="C3" s="1">
        <v>-40.379999999999995</v>
      </c>
      <c r="D3" s="1">
        <f>ROUND(C3,0)</f>
        <v>-40</v>
      </c>
      <c r="E3" s="1" t="s">
        <v>220</v>
      </c>
      <c r="F3" s="1" t="s">
        <v>219</v>
      </c>
    </row>
    <row r="4" spans="1:6" s="1" customFormat="1" x14ac:dyDescent="0.3">
      <c r="A4" s="2">
        <v>2534</v>
      </c>
      <c r="B4" s="1" t="s">
        <v>8</v>
      </c>
      <c r="C4" s="1">
        <v>-1702.0299999999993</v>
      </c>
      <c r="D4" s="1">
        <f>ROUND(C4,0)</f>
        <v>-1702</v>
      </c>
      <c r="E4" s="1" t="s">
        <v>221</v>
      </c>
      <c r="F4" s="1" t="s">
        <v>219</v>
      </c>
    </row>
    <row r="5" spans="1:6" s="1" customFormat="1" x14ac:dyDescent="0.3">
      <c r="A5" s="2">
        <v>2020</v>
      </c>
      <c r="B5" s="1" t="s">
        <v>9</v>
      </c>
      <c r="C5" s="1">
        <v>-32.51</v>
      </c>
      <c r="D5" s="1">
        <f>ROUND(C5,0)</f>
        <v>-33</v>
      </c>
      <c r="E5" s="1" t="s">
        <v>222</v>
      </c>
      <c r="F5" s="1" t="s">
        <v>223</v>
      </c>
    </row>
    <row r="6" spans="1:6" s="1" customFormat="1" x14ac:dyDescent="0.3">
      <c r="A6" s="2">
        <v>237</v>
      </c>
      <c r="B6" s="1" t="s">
        <v>10</v>
      </c>
      <c r="C6" s="1">
        <v>-741.68000000000006</v>
      </c>
      <c r="D6" s="1">
        <f>ROUND(C6,0)</f>
        <v>-742</v>
      </c>
      <c r="E6" s="1" t="s">
        <v>224</v>
      </c>
      <c r="F6" s="1" t="s">
        <v>223</v>
      </c>
    </row>
    <row r="7" spans="1:6" s="1" customFormat="1" x14ac:dyDescent="0.3">
      <c r="A7" s="2">
        <v>493</v>
      </c>
      <c r="B7" s="1" t="s">
        <v>11</v>
      </c>
      <c r="C7" s="1">
        <v>-7932.7899999999991</v>
      </c>
      <c r="D7" s="1">
        <f>ROUND(C7,0)</f>
        <v>-7933</v>
      </c>
      <c r="E7" s="1" t="s">
        <v>225</v>
      </c>
      <c r="F7" s="1" t="s">
        <v>223</v>
      </c>
    </row>
    <row r="8" spans="1:6" s="1" customFormat="1" x14ac:dyDescent="0.3">
      <c r="A8" s="2">
        <v>596</v>
      </c>
      <c r="B8" s="1" t="s">
        <v>12</v>
      </c>
      <c r="C8" s="1">
        <v>-161.9</v>
      </c>
      <c r="D8" s="1">
        <f>ROUND(C8,0)</f>
        <v>-162</v>
      </c>
      <c r="E8" s="1" t="s">
        <v>226</v>
      </c>
      <c r="F8" s="1" t="s">
        <v>223</v>
      </c>
    </row>
    <row r="9" spans="1:6" s="1" customFormat="1" x14ac:dyDescent="0.3">
      <c r="A9" s="2">
        <v>883</v>
      </c>
      <c r="B9" s="1" t="s">
        <v>13</v>
      </c>
      <c r="C9" s="1">
        <v>-232</v>
      </c>
      <c r="D9" s="1">
        <f>ROUND(C9,0)</f>
        <v>-232</v>
      </c>
      <c r="E9" s="1" t="s">
        <v>227</v>
      </c>
      <c r="F9" s="1" t="s">
        <v>223</v>
      </c>
    </row>
    <row r="10" spans="1:6" s="1" customFormat="1" x14ac:dyDescent="0.3">
      <c r="A10" s="2">
        <v>2652</v>
      </c>
      <c r="B10" s="1" t="s">
        <v>14</v>
      </c>
      <c r="C10" s="1">
        <v>-10447.1</v>
      </c>
      <c r="D10" s="1">
        <f>ROUND(C10,0)</f>
        <v>-10447</v>
      </c>
      <c r="E10" s="1" t="s">
        <v>229</v>
      </c>
      <c r="F10" s="1" t="s">
        <v>228</v>
      </c>
    </row>
    <row r="11" spans="1:6" s="1" customFormat="1" x14ac:dyDescent="0.3">
      <c r="A11" s="2">
        <v>2766</v>
      </c>
      <c r="B11" s="1" t="s">
        <v>15</v>
      </c>
      <c r="C11" s="1">
        <v>-52838.55</v>
      </c>
      <c r="D11" s="1">
        <f>ROUND(C11,0)</f>
        <v>-52839</v>
      </c>
      <c r="E11" s="1" t="s">
        <v>230</v>
      </c>
      <c r="F11" s="1" t="s">
        <v>228</v>
      </c>
    </row>
    <row r="12" spans="1:6" s="1" customFormat="1" x14ac:dyDescent="0.3">
      <c r="A12" s="2">
        <v>404</v>
      </c>
      <c r="B12" s="1" t="s">
        <v>16</v>
      </c>
      <c r="C12" s="1">
        <v>-54.69</v>
      </c>
      <c r="D12" s="1">
        <f>ROUND(C12,0)</f>
        <v>-55</v>
      </c>
      <c r="E12" s="1" t="s">
        <v>231</v>
      </c>
      <c r="F12" s="1" t="s">
        <v>228</v>
      </c>
    </row>
    <row r="13" spans="1:6" s="1" customFormat="1" x14ac:dyDescent="0.3">
      <c r="A13" s="2">
        <v>2404</v>
      </c>
      <c r="B13" s="1" t="s">
        <v>17</v>
      </c>
      <c r="C13" s="1">
        <v>-729.85</v>
      </c>
      <c r="D13" s="1">
        <f>ROUND(C13,0)</f>
        <v>-730</v>
      </c>
      <c r="E13" s="1" t="s">
        <v>232</v>
      </c>
      <c r="F13" s="1" t="s">
        <v>233</v>
      </c>
    </row>
    <row r="14" spans="1:6" s="1" customFormat="1" x14ac:dyDescent="0.3">
      <c r="A14" s="2">
        <v>2462</v>
      </c>
      <c r="B14" s="1" t="s">
        <v>18</v>
      </c>
      <c r="C14" s="1">
        <v>-850.66000000000008</v>
      </c>
      <c r="D14" s="1">
        <f>ROUND(C14,0)</f>
        <v>-851</v>
      </c>
      <c r="E14" s="1" t="s">
        <v>232</v>
      </c>
      <c r="F14" s="1" t="s">
        <v>233</v>
      </c>
    </row>
    <row r="15" spans="1:6" s="1" customFormat="1" x14ac:dyDescent="0.3">
      <c r="A15" s="2">
        <v>2559</v>
      </c>
      <c r="B15" s="1" t="s">
        <v>19</v>
      </c>
      <c r="C15" s="1">
        <v>-15</v>
      </c>
      <c r="D15" s="1">
        <f>ROUND(C15,0)</f>
        <v>-15</v>
      </c>
      <c r="E15" s="1" t="s">
        <v>232</v>
      </c>
      <c r="F15" s="1" t="s">
        <v>233</v>
      </c>
    </row>
    <row r="16" spans="1:6" s="1" customFormat="1" x14ac:dyDescent="0.3">
      <c r="A16" s="2">
        <v>1210</v>
      </c>
      <c r="B16" s="1" t="s">
        <v>20</v>
      </c>
      <c r="C16" s="1">
        <v>-966.37</v>
      </c>
      <c r="D16" s="1">
        <f>ROUND(C16,0)</f>
        <v>-966</v>
      </c>
      <c r="E16" s="1" t="s">
        <v>234</v>
      </c>
      <c r="F16" s="1" t="s">
        <v>235</v>
      </c>
    </row>
    <row r="17" spans="1:6" s="1" customFormat="1" x14ac:dyDescent="0.3">
      <c r="A17" s="2">
        <v>136</v>
      </c>
      <c r="B17" s="1" t="s">
        <v>21</v>
      </c>
      <c r="C17" s="1">
        <v>-14518.240000000002</v>
      </c>
      <c r="D17" s="1">
        <f>ROUND(C17,0)</f>
        <v>-14518</v>
      </c>
      <c r="E17" s="1" t="s">
        <v>236</v>
      </c>
      <c r="F17" s="1" t="s">
        <v>235</v>
      </c>
    </row>
    <row r="18" spans="1:6" s="1" customFormat="1" x14ac:dyDescent="0.3">
      <c r="A18" s="2">
        <v>1439</v>
      </c>
      <c r="B18" s="1" t="s">
        <v>22</v>
      </c>
      <c r="C18" s="1">
        <v>117.13999999999997</v>
      </c>
      <c r="D18" s="1">
        <f>ROUND(C18,0)</f>
        <v>117</v>
      </c>
      <c r="E18" s="1" t="s">
        <v>237</v>
      </c>
      <c r="F18" s="1" t="s">
        <v>235</v>
      </c>
    </row>
    <row r="19" spans="1:6" s="1" customFormat="1" x14ac:dyDescent="0.3">
      <c r="A19" s="2">
        <v>1520</v>
      </c>
      <c r="B19" s="1" t="s">
        <v>23</v>
      </c>
      <c r="C19" s="1">
        <v>-1626.6100000000004</v>
      </c>
      <c r="D19" s="1">
        <f>ROUND(C19,0)</f>
        <v>-1627</v>
      </c>
      <c r="E19" s="1" t="s">
        <v>238</v>
      </c>
      <c r="F19" s="1" t="s">
        <v>235</v>
      </c>
    </row>
    <row r="20" spans="1:6" s="1" customFormat="1" x14ac:dyDescent="0.3">
      <c r="A20" s="2">
        <v>204</v>
      </c>
      <c r="B20" s="1" t="s">
        <v>24</v>
      </c>
      <c r="C20" s="1">
        <v>-26628.539999999939</v>
      </c>
      <c r="D20" s="1">
        <f>ROUND(C20,0)</f>
        <v>-26629</v>
      </c>
      <c r="E20" s="1" t="s">
        <v>239</v>
      </c>
      <c r="F20" s="1" t="s">
        <v>235</v>
      </c>
    </row>
    <row r="21" spans="1:6" s="1" customFormat="1" x14ac:dyDescent="0.3">
      <c r="A21" s="2">
        <v>230</v>
      </c>
      <c r="B21" s="1" t="s">
        <v>25</v>
      </c>
      <c r="C21" s="1">
        <v>-75.44</v>
      </c>
      <c r="D21" s="1">
        <f>ROUND(C21,0)</f>
        <v>-75</v>
      </c>
      <c r="E21" s="1" t="s">
        <v>364</v>
      </c>
      <c r="F21" s="1" t="s">
        <v>235</v>
      </c>
    </row>
    <row r="22" spans="1:6" s="1" customFormat="1" x14ac:dyDescent="0.3">
      <c r="A22" s="2">
        <v>2446</v>
      </c>
      <c r="B22" s="1" t="s">
        <v>26</v>
      </c>
      <c r="C22" s="1">
        <v>-73.989999999999995</v>
      </c>
      <c r="D22" s="1">
        <f>ROUND(C22,0)</f>
        <v>-74</v>
      </c>
      <c r="E22" s="1" t="s">
        <v>363</v>
      </c>
      <c r="F22" s="1" t="s">
        <v>235</v>
      </c>
    </row>
    <row r="23" spans="1:6" s="1" customFormat="1" x14ac:dyDescent="0.3">
      <c r="A23" s="2">
        <v>2496</v>
      </c>
      <c r="B23" s="1" t="s">
        <v>27</v>
      </c>
      <c r="C23" s="1">
        <v>-706.78</v>
      </c>
      <c r="D23" s="1">
        <f>ROUND(C23,0)</f>
        <v>-707</v>
      </c>
      <c r="E23" s="1" t="s">
        <v>240</v>
      </c>
      <c r="F23" s="1" t="s">
        <v>235</v>
      </c>
    </row>
    <row r="24" spans="1:6" s="1" customFormat="1" x14ac:dyDescent="0.3">
      <c r="A24" s="2">
        <v>2650</v>
      </c>
      <c r="B24" s="1" t="s">
        <v>28</v>
      </c>
      <c r="C24" s="1">
        <v>-302.64999999999998</v>
      </c>
      <c r="D24" s="1">
        <f>ROUND(C24,0)</f>
        <v>-303</v>
      </c>
      <c r="E24" s="1" t="s">
        <v>241</v>
      </c>
      <c r="F24" s="1" t="s">
        <v>235</v>
      </c>
    </row>
    <row r="25" spans="1:6" s="1" customFormat="1" x14ac:dyDescent="0.3">
      <c r="A25" s="2">
        <v>2743</v>
      </c>
      <c r="B25" s="1" t="s">
        <v>29</v>
      </c>
      <c r="C25" s="1">
        <v>-58.259999999999991</v>
      </c>
      <c r="D25" s="1">
        <f>ROUND(C25,0)</f>
        <v>-58</v>
      </c>
      <c r="E25" s="1" t="s">
        <v>242</v>
      </c>
      <c r="F25" s="1" t="s">
        <v>235</v>
      </c>
    </row>
    <row r="26" spans="1:6" s="1" customFormat="1" x14ac:dyDescent="0.3">
      <c r="A26" s="2">
        <v>2807</v>
      </c>
      <c r="B26" s="1" t="s">
        <v>30</v>
      </c>
      <c r="C26" s="1">
        <v>-54.620000000000005</v>
      </c>
      <c r="D26" s="1">
        <f>ROUND(C26,0)</f>
        <v>-55</v>
      </c>
      <c r="E26" s="1" t="s">
        <v>242</v>
      </c>
      <c r="F26" s="1" t="s">
        <v>235</v>
      </c>
    </row>
    <row r="27" spans="1:6" s="1" customFormat="1" x14ac:dyDescent="0.3">
      <c r="A27" s="2">
        <v>2808</v>
      </c>
      <c r="B27" s="1" t="s">
        <v>31</v>
      </c>
      <c r="C27" s="1">
        <v>-25.52</v>
      </c>
      <c r="D27" s="1">
        <f>ROUND(C27,0)</f>
        <v>-26</v>
      </c>
      <c r="E27" s="1" t="s">
        <v>242</v>
      </c>
      <c r="F27" s="1" t="s">
        <v>235</v>
      </c>
    </row>
    <row r="28" spans="1:6" s="1" customFormat="1" x14ac:dyDescent="0.3">
      <c r="A28" s="2">
        <v>2810</v>
      </c>
      <c r="B28" s="1" t="s">
        <v>32</v>
      </c>
      <c r="C28" s="1">
        <v>-373</v>
      </c>
      <c r="D28" s="1">
        <f>ROUND(C28,0)</f>
        <v>-373</v>
      </c>
      <c r="E28" s="1" t="s">
        <v>242</v>
      </c>
      <c r="F28" s="1" t="s">
        <v>235</v>
      </c>
    </row>
    <row r="29" spans="1:6" s="1" customFormat="1" x14ac:dyDescent="0.3">
      <c r="A29" s="2">
        <v>337</v>
      </c>
      <c r="B29" s="1" t="s">
        <v>33</v>
      </c>
      <c r="C29" s="1">
        <v>-6085.29</v>
      </c>
      <c r="D29" s="1">
        <f>ROUND(C29,0)</f>
        <v>-6085</v>
      </c>
      <c r="E29" s="1" t="s">
        <v>243</v>
      </c>
      <c r="F29" s="1" t="s">
        <v>235</v>
      </c>
    </row>
    <row r="30" spans="1:6" s="1" customFormat="1" x14ac:dyDescent="0.3">
      <c r="A30" s="2">
        <v>344</v>
      </c>
      <c r="B30" s="1" t="s">
        <v>34</v>
      </c>
      <c r="C30" s="1">
        <v>24.770000000000003</v>
      </c>
      <c r="D30" s="1">
        <f>ROUND(C30,0)</f>
        <v>25</v>
      </c>
      <c r="E30" s="1" t="s">
        <v>244</v>
      </c>
      <c r="F30" s="1" t="s">
        <v>235</v>
      </c>
    </row>
    <row r="31" spans="1:6" s="1" customFormat="1" x14ac:dyDescent="0.3">
      <c r="A31" s="2">
        <v>369</v>
      </c>
      <c r="B31" s="1" t="s">
        <v>35</v>
      </c>
      <c r="C31" s="1">
        <v>-1630.3599999999979</v>
      </c>
      <c r="D31" s="1">
        <f>ROUND(C31,0)</f>
        <v>-1630</v>
      </c>
      <c r="E31" s="1" t="s">
        <v>245</v>
      </c>
      <c r="F31" s="1" t="s">
        <v>235</v>
      </c>
    </row>
    <row r="32" spans="1:6" s="1" customFormat="1" x14ac:dyDescent="0.3">
      <c r="A32" s="2">
        <v>375</v>
      </c>
      <c r="B32" s="1" t="s">
        <v>36</v>
      </c>
      <c r="C32" s="1">
        <v>-3128.0200000000004</v>
      </c>
      <c r="D32" s="1">
        <f>ROUND(C32,0)</f>
        <v>-3128</v>
      </c>
      <c r="E32" s="1" t="s">
        <v>246</v>
      </c>
      <c r="F32" s="1" t="s">
        <v>235</v>
      </c>
    </row>
    <row r="33" spans="1:6" s="1" customFormat="1" x14ac:dyDescent="0.3">
      <c r="A33" s="2">
        <v>488</v>
      </c>
      <c r="B33" s="1" t="s">
        <v>37</v>
      </c>
      <c r="C33" s="1">
        <v>-1378.3799999999997</v>
      </c>
      <c r="D33" s="1">
        <f>ROUND(C33,0)</f>
        <v>-1378</v>
      </c>
      <c r="E33" s="1" t="s">
        <v>247</v>
      </c>
      <c r="F33" s="1" t="s">
        <v>235</v>
      </c>
    </row>
    <row r="34" spans="1:6" s="1" customFormat="1" x14ac:dyDescent="0.3">
      <c r="A34" s="2">
        <v>498</v>
      </c>
      <c r="B34" s="1" t="s">
        <v>38</v>
      </c>
      <c r="C34" s="1">
        <v>-26646.959999999926</v>
      </c>
      <c r="D34" s="1">
        <f>ROUND(C34,0)</f>
        <v>-26647</v>
      </c>
      <c r="E34" s="1" t="s">
        <v>248</v>
      </c>
      <c r="F34" s="1" t="s">
        <v>235</v>
      </c>
    </row>
    <row r="35" spans="1:6" s="1" customFormat="1" x14ac:dyDescent="0.3">
      <c r="A35" s="2">
        <v>529</v>
      </c>
      <c r="B35" s="1" t="s">
        <v>39</v>
      </c>
      <c r="C35" s="1">
        <v>-57.56</v>
      </c>
      <c r="D35" s="1">
        <f>ROUND(C35,0)</f>
        <v>-58</v>
      </c>
      <c r="E35" s="1" t="s">
        <v>249</v>
      </c>
      <c r="F35" s="1" t="s">
        <v>235</v>
      </c>
    </row>
    <row r="36" spans="1:6" s="1" customFormat="1" x14ac:dyDescent="0.3">
      <c r="A36" s="2">
        <v>557</v>
      </c>
      <c r="B36" s="1" t="s">
        <v>40</v>
      </c>
      <c r="C36" s="1">
        <v>-49.61</v>
      </c>
      <c r="D36" s="1">
        <f>ROUND(C36,0)</f>
        <v>-50</v>
      </c>
      <c r="E36" s="1" t="s">
        <v>250</v>
      </c>
      <c r="F36" s="1" t="s">
        <v>235</v>
      </c>
    </row>
    <row r="37" spans="1:6" s="1" customFormat="1" x14ac:dyDescent="0.3">
      <c r="A37" s="2">
        <v>658</v>
      </c>
      <c r="B37" s="1" t="s">
        <v>41</v>
      </c>
      <c r="C37" s="1">
        <v>-7611.3800000000119</v>
      </c>
      <c r="D37" s="1">
        <f>ROUND(C37,0)</f>
        <v>-7611</v>
      </c>
      <c r="E37" s="1" t="s">
        <v>251</v>
      </c>
      <c r="F37" s="1" t="s">
        <v>235</v>
      </c>
    </row>
    <row r="38" spans="1:6" s="1" customFormat="1" x14ac:dyDescent="0.3">
      <c r="A38" s="2">
        <v>772</v>
      </c>
      <c r="B38" s="1" t="s">
        <v>42</v>
      </c>
      <c r="C38" s="1">
        <v>-221.83</v>
      </c>
      <c r="D38" s="1">
        <f>ROUND(C38,0)</f>
        <v>-222</v>
      </c>
      <c r="E38" s="1" t="s">
        <v>252</v>
      </c>
      <c r="F38" s="1" t="s">
        <v>235</v>
      </c>
    </row>
    <row r="39" spans="1:6" s="1" customFormat="1" x14ac:dyDescent="0.3">
      <c r="A39" s="2">
        <v>123</v>
      </c>
      <c r="B39" s="1" t="s">
        <v>43</v>
      </c>
      <c r="C39" s="1">
        <v>-3080.9199999999996</v>
      </c>
      <c r="D39" s="1">
        <f>ROUND(C39,0)</f>
        <v>-3081</v>
      </c>
      <c r="E39" s="1" t="s">
        <v>253</v>
      </c>
      <c r="F39" s="1" t="s">
        <v>254</v>
      </c>
    </row>
    <row r="40" spans="1:6" s="1" customFormat="1" x14ac:dyDescent="0.3">
      <c r="A40" s="2">
        <v>1295</v>
      </c>
      <c r="B40" s="1" t="s">
        <v>44</v>
      </c>
      <c r="C40" s="1">
        <v>-105.58</v>
      </c>
      <c r="D40" s="1">
        <f>ROUND(C40,0)</f>
        <v>-106</v>
      </c>
      <c r="E40" s="1" t="s">
        <v>255</v>
      </c>
      <c r="F40" s="1" t="s">
        <v>254</v>
      </c>
    </row>
    <row r="41" spans="1:6" s="1" customFormat="1" x14ac:dyDescent="0.3">
      <c r="A41" s="2">
        <v>1424</v>
      </c>
      <c r="B41" s="1" t="s">
        <v>45</v>
      </c>
      <c r="C41" s="1">
        <v>-6527.4799999999905</v>
      </c>
      <c r="D41" s="1">
        <f>ROUND(C41,0)</f>
        <v>-6527</v>
      </c>
      <c r="E41" s="1" t="s">
        <v>256</v>
      </c>
      <c r="F41" s="1" t="s">
        <v>254</v>
      </c>
    </row>
    <row r="42" spans="1:6" s="1" customFormat="1" x14ac:dyDescent="0.3">
      <c r="A42" s="2">
        <v>1579</v>
      </c>
      <c r="B42" s="1" t="s">
        <v>46</v>
      </c>
      <c r="C42" s="1">
        <v>-1186.76</v>
      </c>
      <c r="D42" s="1">
        <f>ROUND(C42,0)</f>
        <v>-1187</v>
      </c>
      <c r="E42" s="1" t="s">
        <v>257</v>
      </c>
      <c r="F42" s="1" t="s">
        <v>254</v>
      </c>
    </row>
    <row r="43" spans="1:6" s="1" customFormat="1" x14ac:dyDescent="0.3">
      <c r="A43" s="2">
        <v>1628</v>
      </c>
      <c r="B43" s="1" t="s">
        <v>47</v>
      </c>
      <c r="C43" s="1">
        <v>-3797.0000000000014</v>
      </c>
      <c r="D43" s="1">
        <f>ROUND(C43,0)</f>
        <v>-3797</v>
      </c>
      <c r="E43" s="1" t="s">
        <v>258</v>
      </c>
      <c r="F43" s="1" t="s">
        <v>254</v>
      </c>
    </row>
    <row r="44" spans="1:6" s="1" customFormat="1" x14ac:dyDescent="0.3">
      <c r="A44" s="2">
        <v>2347</v>
      </c>
      <c r="B44" s="1" t="s">
        <v>48</v>
      </c>
      <c r="C44" s="1">
        <v>-650.66</v>
      </c>
      <c r="D44" s="1">
        <f>ROUND(C44,0)</f>
        <v>-651</v>
      </c>
      <c r="E44" s="1" t="s">
        <v>259</v>
      </c>
      <c r="F44" s="1" t="s">
        <v>254</v>
      </c>
    </row>
    <row r="45" spans="1:6" s="1" customFormat="1" x14ac:dyDescent="0.3">
      <c r="A45" s="2">
        <v>2467</v>
      </c>
      <c r="B45" s="1" t="s">
        <v>49</v>
      </c>
      <c r="C45" s="1">
        <v>-6758.1999999999953</v>
      </c>
      <c r="D45" s="1">
        <f>ROUND(C45,0)</f>
        <v>-6758</v>
      </c>
      <c r="E45" s="1" t="s">
        <v>260</v>
      </c>
      <c r="F45" s="1" t="s">
        <v>254</v>
      </c>
    </row>
    <row r="46" spans="1:6" s="1" customFormat="1" x14ac:dyDescent="0.3">
      <c r="A46" s="2">
        <v>380</v>
      </c>
      <c r="B46" s="1" t="s">
        <v>50</v>
      </c>
      <c r="C46" s="1">
        <v>-915.69</v>
      </c>
      <c r="D46" s="1">
        <f>ROUND(C46,0)</f>
        <v>-916</v>
      </c>
      <c r="E46" s="1" t="s">
        <v>191</v>
      </c>
      <c r="F46" s="1" t="s">
        <v>254</v>
      </c>
    </row>
    <row r="47" spans="1:6" s="1" customFormat="1" x14ac:dyDescent="0.3">
      <c r="A47" s="2">
        <v>667</v>
      </c>
      <c r="B47" s="1" t="s">
        <v>51</v>
      </c>
      <c r="C47" s="1">
        <v>-6791.02</v>
      </c>
      <c r="D47" s="1">
        <f>ROUND(C47,0)</f>
        <v>-6791</v>
      </c>
      <c r="E47" s="1" t="s">
        <v>192</v>
      </c>
      <c r="F47" s="1" t="s">
        <v>254</v>
      </c>
    </row>
    <row r="48" spans="1:6" s="1" customFormat="1" x14ac:dyDescent="0.3">
      <c r="A48" s="2">
        <v>840</v>
      </c>
      <c r="B48" s="1" t="s">
        <v>52</v>
      </c>
      <c r="C48" s="1">
        <v>-1066.7499999999998</v>
      </c>
      <c r="D48" s="1">
        <f>ROUND(C48,0)</f>
        <v>-1067</v>
      </c>
      <c r="E48" s="1" t="s">
        <v>193</v>
      </c>
      <c r="F48" s="1" t="s">
        <v>254</v>
      </c>
    </row>
    <row r="49" spans="1:6" s="1" customFormat="1" x14ac:dyDescent="0.3">
      <c r="A49" s="2">
        <v>128</v>
      </c>
      <c r="B49" s="1" t="s">
        <v>53</v>
      </c>
      <c r="C49" s="1">
        <v>-4478.1200000000008</v>
      </c>
      <c r="D49" s="1">
        <f>ROUND(C49,0)</f>
        <v>-4478</v>
      </c>
      <c r="E49" s="1" t="s">
        <v>194</v>
      </c>
      <c r="F49" s="1" t="s">
        <v>261</v>
      </c>
    </row>
    <row r="50" spans="1:6" s="1" customFormat="1" x14ac:dyDescent="0.3">
      <c r="A50" s="2">
        <v>1524</v>
      </c>
      <c r="B50" s="1" t="s">
        <v>54</v>
      </c>
      <c r="C50" s="1">
        <v>-1838.1</v>
      </c>
      <c r="D50" s="1">
        <f>ROUND(C50,0)</f>
        <v>-1838</v>
      </c>
      <c r="E50" s="1" t="s">
        <v>195</v>
      </c>
      <c r="F50" s="1" t="s">
        <v>261</v>
      </c>
    </row>
    <row r="51" spans="1:6" s="1" customFormat="1" x14ac:dyDescent="0.3">
      <c r="A51" s="2">
        <v>2095</v>
      </c>
      <c r="B51" s="1" t="s">
        <v>55</v>
      </c>
      <c r="C51" s="1">
        <v>-4061.5000000000009</v>
      </c>
      <c r="D51" s="1">
        <f>ROUND(C51,0)</f>
        <v>-4062</v>
      </c>
      <c r="E51" s="1" t="s">
        <v>196</v>
      </c>
      <c r="F51" s="1" t="s">
        <v>261</v>
      </c>
    </row>
    <row r="52" spans="1:6" s="1" customFormat="1" x14ac:dyDescent="0.3">
      <c r="A52" s="2">
        <v>2098</v>
      </c>
      <c r="B52" s="1" t="s">
        <v>56</v>
      </c>
      <c r="C52" s="1">
        <v>-3494.9300000000007</v>
      </c>
      <c r="D52" s="1">
        <f>ROUND(C52,0)</f>
        <v>-3495</v>
      </c>
      <c r="E52" s="1" t="s">
        <v>196</v>
      </c>
      <c r="F52" s="1" t="s">
        <v>261</v>
      </c>
    </row>
    <row r="53" spans="1:6" s="1" customFormat="1" x14ac:dyDescent="0.3">
      <c r="A53" s="2">
        <v>2267</v>
      </c>
      <c r="B53" s="1" t="s">
        <v>57</v>
      </c>
      <c r="C53" s="1">
        <v>-1782.1699999999998</v>
      </c>
      <c r="D53" s="1">
        <f>ROUND(C53,0)</f>
        <v>-1782</v>
      </c>
      <c r="E53" s="1" t="s">
        <v>197</v>
      </c>
      <c r="F53" s="1" t="s">
        <v>261</v>
      </c>
    </row>
    <row r="54" spans="1:6" s="1" customFormat="1" x14ac:dyDescent="0.3">
      <c r="A54" s="2">
        <v>2310</v>
      </c>
      <c r="B54" s="1" t="s">
        <v>58</v>
      </c>
      <c r="C54" s="1">
        <v>-364.46</v>
      </c>
      <c r="D54" s="1">
        <f>ROUND(C54,0)</f>
        <v>-364</v>
      </c>
      <c r="E54" s="1" t="s">
        <v>198</v>
      </c>
      <c r="F54" s="1" t="s">
        <v>261</v>
      </c>
    </row>
    <row r="55" spans="1:6" s="1" customFormat="1" x14ac:dyDescent="0.3">
      <c r="A55" s="2">
        <v>2604</v>
      </c>
      <c r="B55" s="1" t="s">
        <v>59</v>
      </c>
      <c r="C55" s="1">
        <v>-199.42000000000002</v>
      </c>
      <c r="D55" s="1">
        <f>ROUND(C55,0)</f>
        <v>-199</v>
      </c>
      <c r="E55" s="1" t="s">
        <v>199</v>
      </c>
      <c r="F55" s="1" t="s">
        <v>261</v>
      </c>
    </row>
    <row r="56" spans="1:6" s="1" customFormat="1" x14ac:dyDescent="0.3">
      <c r="A56" s="2">
        <v>2798</v>
      </c>
      <c r="B56" s="1" t="s">
        <v>60</v>
      </c>
      <c r="C56" s="1">
        <v>-340.26000000000005</v>
      </c>
      <c r="D56" s="1">
        <f>ROUND(C56,0)</f>
        <v>-340</v>
      </c>
      <c r="E56" s="1" t="s">
        <v>200</v>
      </c>
      <c r="F56" s="1" t="s">
        <v>261</v>
      </c>
    </row>
    <row r="57" spans="1:6" s="1" customFormat="1" x14ac:dyDescent="0.3">
      <c r="A57" s="2">
        <v>391</v>
      </c>
      <c r="B57" s="1" t="s">
        <v>61</v>
      </c>
      <c r="C57" s="1">
        <v>-343.36</v>
      </c>
      <c r="D57" s="1">
        <f>ROUND(C57,0)</f>
        <v>-343</v>
      </c>
      <c r="E57" s="1" t="s">
        <v>201</v>
      </c>
      <c r="F57" s="1" t="s">
        <v>261</v>
      </c>
    </row>
    <row r="58" spans="1:6" s="1" customFormat="1" x14ac:dyDescent="0.3">
      <c r="A58" s="2">
        <v>548</v>
      </c>
      <c r="B58" s="1" t="s">
        <v>62</v>
      </c>
      <c r="C58" s="1">
        <v>-900.67</v>
      </c>
      <c r="D58" s="1">
        <f>ROUND(C58,0)</f>
        <v>-901</v>
      </c>
      <c r="E58" s="1" t="s">
        <v>199</v>
      </c>
      <c r="F58" s="1" t="s">
        <v>261</v>
      </c>
    </row>
    <row r="59" spans="1:6" s="1" customFormat="1" x14ac:dyDescent="0.3">
      <c r="A59" s="2">
        <v>554</v>
      </c>
      <c r="B59" s="1" t="s">
        <v>63</v>
      </c>
      <c r="C59" s="1">
        <v>-75.339999999999989</v>
      </c>
      <c r="D59" s="1">
        <f>ROUND(C59,0)</f>
        <v>-75</v>
      </c>
      <c r="E59" s="1" t="s">
        <v>201</v>
      </c>
      <c r="F59" s="1" t="s">
        <v>261</v>
      </c>
    </row>
    <row r="60" spans="1:6" s="1" customFormat="1" x14ac:dyDescent="0.3">
      <c r="A60" s="2">
        <v>624</v>
      </c>
      <c r="B60" s="1" t="s">
        <v>64</v>
      </c>
      <c r="C60" s="1">
        <v>-600.35</v>
      </c>
      <c r="D60" s="1">
        <f>ROUND(C60,0)</f>
        <v>-600</v>
      </c>
      <c r="E60" s="1" t="s">
        <v>201</v>
      </c>
      <c r="F60" s="1" t="s">
        <v>261</v>
      </c>
    </row>
    <row r="61" spans="1:6" s="1" customFormat="1" x14ac:dyDescent="0.3">
      <c r="A61" s="2">
        <v>690</v>
      </c>
      <c r="B61" s="1" t="s">
        <v>65</v>
      </c>
      <c r="C61" s="1">
        <v>-54.269999999999996</v>
      </c>
      <c r="D61" s="1">
        <f>ROUND(C61,0)</f>
        <v>-54</v>
      </c>
      <c r="E61" s="1" t="s">
        <v>201</v>
      </c>
      <c r="F61" s="1" t="s">
        <v>261</v>
      </c>
    </row>
    <row r="62" spans="1:6" s="1" customFormat="1" x14ac:dyDescent="0.3">
      <c r="A62" s="2">
        <v>986</v>
      </c>
      <c r="B62" s="1" t="s">
        <v>66</v>
      </c>
      <c r="C62" s="1">
        <v>-2934.0000000000014</v>
      </c>
      <c r="D62" s="1">
        <f>ROUND(C62,0)</f>
        <v>-2934</v>
      </c>
      <c r="E62" s="1" t="s">
        <v>202</v>
      </c>
      <c r="F62" s="1" t="s">
        <v>261</v>
      </c>
    </row>
    <row r="63" spans="1:6" s="1" customFormat="1" x14ac:dyDescent="0.3">
      <c r="A63" s="2">
        <v>206</v>
      </c>
      <c r="B63" s="1" t="s">
        <v>67</v>
      </c>
      <c r="C63" s="1">
        <v>-8344.9100000000035</v>
      </c>
      <c r="D63" s="1">
        <f>ROUND(C63,0)</f>
        <v>-8345</v>
      </c>
      <c r="E63" s="1" t="s">
        <v>203</v>
      </c>
      <c r="F63" s="1" t="s">
        <v>262</v>
      </c>
    </row>
    <row r="64" spans="1:6" s="1" customFormat="1" x14ac:dyDescent="0.3">
      <c r="A64" s="2">
        <v>334</v>
      </c>
      <c r="B64" s="1" t="s">
        <v>68</v>
      </c>
      <c r="C64" s="1">
        <v>-3245.3799999999997</v>
      </c>
      <c r="D64" s="1">
        <f>ROUND(C64,0)</f>
        <v>-3245</v>
      </c>
      <c r="E64" s="1" t="s">
        <v>204</v>
      </c>
      <c r="F64" s="1" t="s">
        <v>262</v>
      </c>
    </row>
    <row r="65" spans="1:6" s="1" customFormat="1" x14ac:dyDescent="0.3">
      <c r="A65" s="2">
        <v>1837</v>
      </c>
      <c r="B65" s="1" t="s">
        <v>69</v>
      </c>
      <c r="C65" s="1">
        <v>-106.13</v>
      </c>
      <c r="D65" s="1">
        <f>ROUND(C65,0)</f>
        <v>-106</v>
      </c>
      <c r="E65" s="1" t="s">
        <v>205</v>
      </c>
      <c r="F65" s="1" t="s">
        <v>263</v>
      </c>
    </row>
    <row r="66" spans="1:6" s="1" customFormat="1" x14ac:dyDescent="0.3">
      <c r="A66" s="2">
        <v>1954</v>
      </c>
      <c r="B66" s="1" t="s">
        <v>70</v>
      </c>
      <c r="C66" s="1">
        <v>-1793.9899999999998</v>
      </c>
      <c r="D66" s="1">
        <f>ROUND(C66,0)</f>
        <v>-1794</v>
      </c>
      <c r="E66" s="1" t="s">
        <v>206</v>
      </c>
      <c r="F66" s="1" t="s">
        <v>263</v>
      </c>
    </row>
    <row r="67" spans="1:6" s="1" customFormat="1" x14ac:dyDescent="0.3">
      <c r="A67" s="2">
        <v>2283</v>
      </c>
      <c r="B67" s="1" t="s">
        <v>71</v>
      </c>
      <c r="C67" s="1">
        <v>-469.77</v>
      </c>
      <c r="D67" s="1">
        <f>ROUND(C67,0)</f>
        <v>-470</v>
      </c>
      <c r="E67" s="1" t="s">
        <v>206</v>
      </c>
      <c r="F67" s="1" t="s">
        <v>263</v>
      </c>
    </row>
    <row r="68" spans="1:6" s="1" customFormat="1" x14ac:dyDescent="0.3">
      <c r="A68" s="2">
        <v>564</v>
      </c>
      <c r="B68" s="1" t="s">
        <v>72</v>
      </c>
      <c r="C68" s="1">
        <v>-6938.090000000002</v>
      </c>
      <c r="D68" s="1">
        <f>ROUND(C68,0)</f>
        <v>-6938</v>
      </c>
      <c r="E68" s="1" t="s">
        <v>207</v>
      </c>
      <c r="F68" s="1" t="s">
        <v>263</v>
      </c>
    </row>
    <row r="69" spans="1:6" s="1" customFormat="1" x14ac:dyDescent="0.3">
      <c r="A69" s="2">
        <v>965</v>
      </c>
      <c r="B69" s="1" t="s">
        <v>73</v>
      </c>
      <c r="C69" s="1">
        <v>-47027.979999999989</v>
      </c>
      <c r="D69" s="1">
        <f>ROUND(C69,0)</f>
        <v>-47028</v>
      </c>
      <c r="E69" s="1" t="s">
        <v>208</v>
      </c>
      <c r="F69" s="1" t="s">
        <v>263</v>
      </c>
    </row>
    <row r="70" spans="1:6" s="1" customFormat="1" x14ac:dyDescent="0.3">
      <c r="A70" s="2">
        <v>1065</v>
      </c>
      <c r="B70" s="1" t="s">
        <v>74</v>
      </c>
      <c r="C70" s="1">
        <v>-9211.4599999999991</v>
      </c>
      <c r="D70" s="1">
        <f>ROUND(C70,0)</f>
        <v>-9211</v>
      </c>
      <c r="E70" s="1" t="s">
        <v>209</v>
      </c>
      <c r="F70" s="1" t="s">
        <v>264</v>
      </c>
    </row>
    <row r="71" spans="1:6" s="1" customFormat="1" x14ac:dyDescent="0.3">
      <c r="A71" s="2">
        <v>1112</v>
      </c>
      <c r="B71" s="1" t="s">
        <v>75</v>
      </c>
      <c r="C71" s="1">
        <v>-169.51</v>
      </c>
      <c r="D71" s="1">
        <f>ROUND(C71,0)</f>
        <v>-170</v>
      </c>
      <c r="E71" s="1" t="s">
        <v>210</v>
      </c>
      <c r="F71" s="1" t="s">
        <v>264</v>
      </c>
    </row>
    <row r="72" spans="1:6" s="1" customFormat="1" x14ac:dyDescent="0.3">
      <c r="A72" s="2">
        <v>1117</v>
      </c>
      <c r="B72" s="1" t="s">
        <v>76</v>
      </c>
      <c r="C72" s="1">
        <v>-69.239999999999995</v>
      </c>
      <c r="D72" s="1">
        <f>ROUND(C72,0)</f>
        <v>-69</v>
      </c>
      <c r="E72" s="1" t="s">
        <v>211</v>
      </c>
      <c r="F72" s="1" t="s">
        <v>264</v>
      </c>
    </row>
    <row r="73" spans="1:6" s="1" customFormat="1" x14ac:dyDescent="0.3">
      <c r="A73" s="2">
        <v>1144</v>
      </c>
      <c r="B73" s="1" t="s">
        <v>77</v>
      </c>
      <c r="C73" s="1">
        <v>-25.14</v>
      </c>
      <c r="D73" s="1">
        <f>ROUND(C73,0)</f>
        <v>-25</v>
      </c>
      <c r="E73" s="1" t="s">
        <v>212</v>
      </c>
      <c r="F73" s="1" t="s">
        <v>264</v>
      </c>
    </row>
    <row r="74" spans="1:6" s="1" customFormat="1" x14ac:dyDescent="0.3">
      <c r="A74" s="2">
        <v>1145</v>
      </c>
      <c r="B74" s="1" t="s">
        <v>78</v>
      </c>
      <c r="C74" s="1">
        <v>-17</v>
      </c>
      <c r="D74" s="1">
        <f>ROUND(C74,0)</f>
        <v>-17</v>
      </c>
      <c r="E74" s="1" t="s">
        <v>213</v>
      </c>
      <c r="F74" s="1" t="s">
        <v>264</v>
      </c>
    </row>
    <row r="75" spans="1:6" s="1" customFormat="1" x14ac:dyDescent="0.3">
      <c r="A75" s="2">
        <v>1147</v>
      </c>
      <c r="B75" s="1" t="s">
        <v>79</v>
      </c>
      <c r="C75" s="1">
        <v>-97.46</v>
      </c>
      <c r="D75" s="1">
        <f>ROUND(C75,0)</f>
        <v>-97</v>
      </c>
      <c r="E75" s="1" t="s">
        <v>213</v>
      </c>
      <c r="F75" s="1" t="s">
        <v>264</v>
      </c>
    </row>
    <row r="76" spans="1:6" s="1" customFormat="1" x14ac:dyDescent="0.3">
      <c r="A76" s="2">
        <v>1148</v>
      </c>
      <c r="B76" s="1" t="s">
        <v>80</v>
      </c>
      <c r="C76" s="1">
        <v>-408.94</v>
      </c>
      <c r="D76" s="1">
        <f>ROUND(C76,0)</f>
        <v>-409</v>
      </c>
      <c r="E76" s="1" t="s">
        <v>213</v>
      </c>
      <c r="F76" s="1" t="s">
        <v>264</v>
      </c>
    </row>
    <row r="77" spans="1:6" s="1" customFormat="1" x14ac:dyDescent="0.3">
      <c r="A77" s="2">
        <v>1169</v>
      </c>
      <c r="B77" s="1" t="s">
        <v>81</v>
      </c>
      <c r="C77" s="1">
        <v>-573.97</v>
      </c>
      <c r="D77" s="1">
        <f>ROUND(C77,0)</f>
        <v>-574</v>
      </c>
      <c r="E77" s="1" t="s">
        <v>214</v>
      </c>
      <c r="F77" s="1" t="s">
        <v>264</v>
      </c>
    </row>
    <row r="78" spans="1:6" s="1" customFormat="1" x14ac:dyDescent="0.3">
      <c r="A78" s="2">
        <v>1177</v>
      </c>
      <c r="B78" s="1" t="s">
        <v>82</v>
      </c>
      <c r="C78" s="1">
        <v>-44.86</v>
      </c>
      <c r="D78" s="1">
        <f>ROUND(C78,0)</f>
        <v>-45</v>
      </c>
      <c r="E78" s="1" t="s">
        <v>215</v>
      </c>
      <c r="F78" s="1" t="s">
        <v>264</v>
      </c>
    </row>
    <row r="79" spans="1:6" s="1" customFormat="1" x14ac:dyDescent="0.3">
      <c r="A79" s="2">
        <v>1315</v>
      </c>
      <c r="B79" s="1" t="s">
        <v>83</v>
      </c>
      <c r="C79" s="1">
        <v>-294.3</v>
      </c>
      <c r="D79" s="1">
        <f>ROUND(C79,0)</f>
        <v>-294</v>
      </c>
      <c r="E79" s="1" t="s">
        <v>216</v>
      </c>
      <c r="F79" s="1" t="s">
        <v>264</v>
      </c>
    </row>
    <row r="80" spans="1:6" s="1" customFormat="1" x14ac:dyDescent="0.3">
      <c r="A80" s="2">
        <v>1323</v>
      </c>
      <c r="B80" s="1" t="s">
        <v>84</v>
      </c>
      <c r="C80" s="1">
        <v>-1248.5699999999997</v>
      </c>
      <c r="D80" s="1">
        <f>ROUND(C80,0)</f>
        <v>-1249</v>
      </c>
      <c r="E80" s="1" t="s">
        <v>217</v>
      </c>
      <c r="F80" s="1" t="s">
        <v>264</v>
      </c>
    </row>
    <row r="81" spans="1:6" s="1" customFormat="1" x14ac:dyDescent="0.3">
      <c r="A81" s="2">
        <v>1325</v>
      </c>
      <c r="B81" s="1" t="s">
        <v>85</v>
      </c>
      <c r="C81" s="1">
        <v>-153.78</v>
      </c>
      <c r="D81" s="1">
        <f>ROUND(C81,0)</f>
        <v>-154</v>
      </c>
      <c r="E81" s="1" t="s">
        <v>217</v>
      </c>
      <c r="F81" s="1" t="s">
        <v>264</v>
      </c>
    </row>
    <row r="82" spans="1:6" s="1" customFormat="1" x14ac:dyDescent="0.3">
      <c r="A82" s="2">
        <v>1435</v>
      </c>
      <c r="B82" s="1" t="s">
        <v>86</v>
      </c>
      <c r="C82" s="1">
        <v>-767.43</v>
      </c>
      <c r="D82" s="1">
        <f>ROUND(C82,0)</f>
        <v>-767</v>
      </c>
      <c r="E82" s="1" t="s">
        <v>217</v>
      </c>
      <c r="F82" s="1" t="s">
        <v>264</v>
      </c>
    </row>
    <row r="83" spans="1:6" s="1" customFormat="1" x14ac:dyDescent="0.3">
      <c r="A83" s="2">
        <v>1498</v>
      </c>
      <c r="B83" s="1" t="s">
        <v>87</v>
      </c>
      <c r="C83" s="1">
        <v>-134</v>
      </c>
      <c r="D83" s="1">
        <f>ROUND(C83,0)</f>
        <v>-134</v>
      </c>
      <c r="E83" s="1" t="s">
        <v>217</v>
      </c>
      <c r="F83" s="1" t="s">
        <v>264</v>
      </c>
    </row>
    <row r="84" spans="1:6" s="1" customFormat="1" x14ac:dyDescent="0.3">
      <c r="A84" s="2">
        <v>152</v>
      </c>
      <c r="B84" s="1" t="s">
        <v>88</v>
      </c>
      <c r="C84" s="1">
        <v>-22396.939999999981</v>
      </c>
      <c r="D84" s="1">
        <f>ROUND(C84,0)</f>
        <v>-22397</v>
      </c>
      <c r="E84" s="1" t="s">
        <v>265</v>
      </c>
      <c r="F84" s="1" t="s">
        <v>264</v>
      </c>
    </row>
    <row r="85" spans="1:6" s="1" customFormat="1" x14ac:dyDescent="0.3">
      <c r="A85" s="2">
        <v>1548</v>
      </c>
      <c r="B85" s="1" t="s">
        <v>89</v>
      </c>
      <c r="C85" s="1">
        <v>-106.38000000000001</v>
      </c>
      <c r="D85" s="1">
        <f>ROUND(C85,0)</f>
        <v>-106</v>
      </c>
      <c r="E85" s="1" t="s">
        <v>266</v>
      </c>
      <c r="F85" s="1" t="s">
        <v>264</v>
      </c>
    </row>
    <row r="86" spans="1:6" s="1" customFormat="1" x14ac:dyDescent="0.3">
      <c r="A86" s="2">
        <v>1553</v>
      </c>
      <c r="B86" s="1" t="s">
        <v>90</v>
      </c>
      <c r="C86" s="1">
        <v>-189.73000000000002</v>
      </c>
      <c r="D86" s="1">
        <f>ROUND(C86,0)</f>
        <v>-190</v>
      </c>
      <c r="E86" s="1" t="s">
        <v>189</v>
      </c>
      <c r="F86" s="1" t="s">
        <v>264</v>
      </c>
    </row>
    <row r="87" spans="1:6" s="1" customFormat="1" x14ac:dyDescent="0.3">
      <c r="A87" s="2">
        <v>1576</v>
      </c>
      <c r="B87" s="1" t="s">
        <v>91</v>
      </c>
      <c r="C87" s="1">
        <v>-58.019999999999996</v>
      </c>
      <c r="D87" s="1">
        <f>ROUND(C87,0)</f>
        <v>-58</v>
      </c>
      <c r="E87" s="1" t="s">
        <v>267</v>
      </c>
      <c r="F87" s="1" t="s">
        <v>264</v>
      </c>
    </row>
    <row r="88" spans="1:6" s="1" customFormat="1" x14ac:dyDescent="0.3">
      <c r="A88" s="2">
        <v>1856</v>
      </c>
      <c r="B88" s="1" t="s">
        <v>92</v>
      </c>
      <c r="C88" s="1">
        <v>-24.41</v>
      </c>
      <c r="D88" s="1">
        <f>ROUND(C88,0)</f>
        <v>-24</v>
      </c>
      <c r="E88" s="1" t="s">
        <v>268</v>
      </c>
      <c r="F88" s="1" t="s">
        <v>264</v>
      </c>
    </row>
    <row r="89" spans="1:6" s="1" customFormat="1" x14ac:dyDescent="0.3">
      <c r="A89" s="2">
        <v>1879</v>
      </c>
      <c r="B89" s="1" t="s">
        <v>93</v>
      </c>
      <c r="C89" s="1">
        <v>-14</v>
      </c>
      <c r="D89" s="1">
        <f>ROUND(C89,0)</f>
        <v>-14</v>
      </c>
      <c r="E89" s="1" t="s">
        <v>269</v>
      </c>
      <c r="F89" s="1" t="s">
        <v>264</v>
      </c>
    </row>
    <row r="90" spans="1:6" s="1" customFormat="1" x14ac:dyDescent="0.3">
      <c r="A90" s="2">
        <v>1994</v>
      </c>
      <c r="B90" s="1" t="s">
        <v>94</v>
      </c>
      <c r="C90" s="1">
        <v>-25.22</v>
      </c>
      <c r="D90" s="1">
        <f>ROUND(C90,0)</f>
        <v>-25</v>
      </c>
      <c r="E90" s="1" t="s">
        <v>213</v>
      </c>
      <c r="F90" s="1" t="s">
        <v>264</v>
      </c>
    </row>
    <row r="91" spans="1:6" s="1" customFormat="1" x14ac:dyDescent="0.3">
      <c r="A91" s="2">
        <v>1995</v>
      </c>
      <c r="B91" s="1" t="s">
        <v>95</v>
      </c>
      <c r="C91" s="1">
        <v>-135.56</v>
      </c>
      <c r="D91" s="1">
        <f>ROUND(C91,0)</f>
        <v>-136</v>
      </c>
      <c r="E91" s="1" t="s">
        <v>213</v>
      </c>
      <c r="F91" s="1" t="s">
        <v>264</v>
      </c>
    </row>
    <row r="92" spans="1:6" s="1" customFormat="1" x14ac:dyDescent="0.3">
      <c r="A92" s="2">
        <v>1996</v>
      </c>
      <c r="B92" s="1" t="s">
        <v>96</v>
      </c>
      <c r="C92" s="1">
        <v>-17</v>
      </c>
      <c r="D92" s="1">
        <f>ROUND(C92,0)</f>
        <v>-17</v>
      </c>
      <c r="E92" s="1" t="s">
        <v>213</v>
      </c>
      <c r="F92" s="1" t="s">
        <v>264</v>
      </c>
    </row>
    <row r="93" spans="1:6" s="1" customFormat="1" x14ac:dyDescent="0.3">
      <c r="A93" s="2">
        <v>2013</v>
      </c>
      <c r="B93" s="1" t="s">
        <v>97</v>
      </c>
      <c r="C93" s="1">
        <v>-725.97</v>
      </c>
      <c r="D93" s="1">
        <f>ROUND(C93,0)</f>
        <v>-726</v>
      </c>
      <c r="E93" s="1" t="s">
        <v>270</v>
      </c>
      <c r="F93" s="1" t="s">
        <v>264</v>
      </c>
    </row>
    <row r="94" spans="1:6" s="1" customFormat="1" x14ac:dyDescent="0.3">
      <c r="A94" s="2">
        <v>2016</v>
      </c>
      <c r="B94" s="1" t="s">
        <v>98</v>
      </c>
      <c r="C94" s="1">
        <v>-71.66</v>
      </c>
      <c r="D94" s="1">
        <f>ROUND(C94,0)</f>
        <v>-72</v>
      </c>
      <c r="E94" s="1" t="s">
        <v>213</v>
      </c>
      <c r="F94" s="1" t="s">
        <v>264</v>
      </c>
    </row>
    <row r="95" spans="1:6" s="1" customFormat="1" x14ac:dyDescent="0.3">
      <c r="A95" s="2">
        <v>2022</v>
      </c>
      <c r="B95" s="1" t="s">
        <v>99</v>
      </c>
      <c r="C95" s="1">
        <v>-40</v>
      </c>
      <c r="D95" s="1">
        <f>ROUND(C95,0)</f>
        <v>-40</v>
      </c>
      <c r="E95" s="1" t="s">
        <v>271</v>
      </c>
      <c r="F95" s="1" t="s">
        <v>264</v>
      </c>
    </row>
    <row r="96" spans="1:6" s="1" customFormat="1" x14ac:dyDescent="0.3">
      <c r="A96" s="2">
        <v>2043</v>
      </c>
      <c r="B96" s="1" t="s">
        <v>100</v>
      </c>
      <c r="C96" s="1">
        <v>-246.66</v>
      </c>
      <c r="D96" s="1">
        <f>ROUND(C96,0)</f>
        <v>-247</v>
      </c>
      <c r="E96" s="1" t="s">
        <v>272</v>
      </c>
      <c r="F96" s="1" t="s">
        <v>264</v>
      </c>
    </row>
    <row r="97" spans="1:6" s="1" customFormat="1" x14ac:dyDescent="0.3">
      <c r="A97" s="2">
        <v>2107</v>
      </c>
      <c r="B97" s="1" t="s">
        <v>101</v>
      </c>
      <c r="C97" s="1">
        <v>-2147.7000000000003</v>
      </c>
      <c r="D97" s="1">
        <f>ROUND(C97,0)</f>
        <v>-2148</v>
      </c>
      <c r="E97" s="1" t="s">
        <v>273</v>
      </c>
      <c r="F97" s="1" t="s">
        <v>264</v>
      </c>
    </row>
    <row r="98" spans="1:6" s="1" customFormat="1" x14ac:dyDescent="0.3">
      <c r="A98" s="2">
        <v>2238</v>
      </c>
      <c r="B98" s="1" t="s">
        <v>102</v>
      </c>
      <c r="C98" s="1">
        <v>-7.1700000000000017</v>
      </c>
      <c r="D98" s="1">
        <f>ROUND(C98,0)</f>
        <v>-7</v>
      </c>
      <c r="E98" s="1" t="s">
        <v>274</v>
      </c>
      <c r="F98" s="1" t="s">
        <v>264</v>
      </c>
    </row>
    <row r="99" spans="1:6" s="1" customFormat="1" x14ac:dyDescent="0.3">
      <c r="A99" s="2">
        <v>2284</v>
      </c>
      <c r="B99" s="1" t="s">
        <v>103</v>
      </c>
      <c r="C99" s="1">
        <v>-656.8</v>
      </c>
      <c r="D99" s="1">
        <f>ROUND(C99,0)</f>
        <v>-657</v>
      </c>
      <c r="E99" s="1" t="s">
        <v>275</v>
      </c>
      <c r="F99" s="1" t="s">
        <v>264</v>
      </c>
    </row>
    <row r="100" spans="1:6" s="1" customFormat="1" x14ac:dyDescent="0.3">
      <c r="A100" s="2">
        <v>231</v>
      </c>
      <c r="B100" s="1" t="s">
        <v>104</v>
      </c>
      <c r="C100" s="1">
        <v>-2072.65</v>
      </c>
      <c r="D100" s="1">
        <f>ROUND(C100,0)</f>
        <v>-2073</v>
      </c>
      <c r="E100" s="1" t="s">
        <v>276</v>
      </c>
      <c r="F100" s="1" t="s">
        <v>264</v>
      </c>
    </row>
    <row r="101" spans="1:6" s="1" customFormat="1" x14ac:dyDescent="0.3">
      <c r="A101" s="2">
        <v>2316</v>
      </c>
      <c r="B101" s="1" t="s">
        <v>105</v>
      </c>
      <c r="C101" s="1">
        <v>-29.45</v>
      </c>
      <c r="D101" s="1">
        <f>ROUND(C101,0)</f>
        <v>-29</v>
      </c>
      <c r="E101" s="1" t="s">
        <v>190</v>
      </c>
      <c r="F101" s="1" t="s">
        <v>264</v>
      </c>
    </row>
    <row r="102" spans="1:6" s="1" customFormat="1" x14ac:dyDescent="0.3">
      <c r="A102" s="2">
        <v>2319</v>
      </c>
      <c r="B102" s="1" t="s">
        <v>106</v>
      </c>
      <c r="C102" s="1">
        <v>-17</v>
      </c>
      <c r="D102" s="1">
        <f>ROUND(C102,0)</f>
        <v>-17</v>
      </c>
      <c r="E102" s="1" t="s">
        <v>277</v>
      </c>
      <c r="F102" s="1" t="s">
        <v>264</v>
      </c>
    </row>
    <row r="103" spans="1:6" s="1" customFormat="1" x14ac:dyDescent="0.3">
      <c r="A103" s="2">
        <v>2322</v>
      </c>
      <c r="B103" s="1" t="s">
        <v>107</v>
      </c>
      <c r="C103" s="1">
        <v>-52.25</v>
      </c>
      <c r="D103" s="1">
        <f>ROUND(C103,0)</f>
        <v>-52</v>
      </c>
      <c r="E103" s="1" t="s">
        <v>190</v>
      </c>
      <c r="F103" s="1" t="s">
        <v>264</v>
      </c>
    </row>
    <row r="104" spans="1:6" s="1" customFormat="1" x14ac:dyDescent="0.3">
      <c r="A104" s="2">
        <v>2450</v>
      </c>
      <c r="B104" s="1" t="s">
        <v>108</v>
      </c>
      <c r="C104" s="1">
        <v>-504.53999999999996</v>
      </c>
      <c r="D104" s="1">
        <f>ROUND(C104,0)</f>
        <v>-505</v>
      </c>
      <c r="E104" s="1" t="s">
        <v>278</v>
      </c>
      <c r="F104" s="1" t="s">
        <v>264</v>
      </c>
    </row>
    <row r="105" spans="1:6" s="1" customFormat="1" x14ac:dyDescent="0.3">
      <c r="A105" s="2">
        <v>2473</v>
      </c>
      <c r="B105" s="1" t="s">
        <v>109</v>
      </c>
      <c r="C105" s="1">
        <v>-43.63</v>
      </c>
      <c r="D105" s="1">
        <f>ROUND(C105,0)</f>
        <v>-44</v>
      </c>
      <c r="E105" s="1" t="s">
        <v>279</v>
      </c>
      <c r="F105" s="1" t="s">
        <v>264</v>
      </c>
    </row>
    <row r="106" spans="1:6" s="1" customFormat="1" x14ac:dyDescent="0.3">
      <c r="A106" s="2">
        <v>2594</v>
      </c>
      <c r="B106" s="1" t="s">
        <v>110</v>
      </c>
      <c r="C106" s="1">
        <v>-77.680000000000035</v>
      </c>
      <c r="D106" s="1">
        <f>ROUND(C106,0)</f>
        <v>-78</v>
      </c>
      <c r="E106" s="1" t="s">
        <v>280</v>
      </c>
      <c r="F106" s="1" t="s">
        <v>264</v>
      </c>
    </row>
    <row r="107" spans="1:6" s="1" customFormat="1" x14ac:dyDescent="0.3">
      <c r="A107" s="2">
        <v>2678</v>
      </c>
      <c r="B107" s="1" t="s">
        <v>111</v>
      </c>
      <c r="C107" s="1">
        <v>-3303.9399999999996</v>
      </c>
      <c r="D107" s="1">
        <f>ROUND(C107,0)</f>
        <v>-3304</v>
      </c>
      <c r="E107" s="1" t="s">
        <v>281</v>
      </c>
      <c r="F107" s="1" t="s">
        <v>264</v>
      </c>
    </row>
    <row r="108" spans="1:6" s="1" customFormat="1" x14ac:dyDescent="0.3">
      <c r="A108" s="2">
        <v>2684</v>
      </c>
      <c r="B108" s="1" t="s">
        <v>112</v>
      </c>
      <c r="C108" s="1">
        <v>-33.68</v>
      </c>
      <c r="D108" s="1">
        <f>ROUND(C108,0)</f>
        <v>-34</v>
      </c>
      <c r="E108" s="1" t="s">
        <v>282</v>
      </c>
      <c r="F108" s="1" t="s">
        <v>264</v>
      </c>
    </row>
    <row r="109" spans="1:6" s="1" customFormat="1" x14ac:dyDescent="0.3">
      <c r="A109" s="2">
        <v>2772</v>
      </c>
      <c r="B109" s="1" t="s">
        <v>113</v>
      </c>
      <c r="C109" s="1">
        <v>-30.18</v>
      </c>
      <c r="D109" s="1">
        <f>ROUND(C109,0)</f>
        <v>-30</v>
      </c>
      <c r="E109" s="1" t="s">
        <v>283</v>
      </c>
      <c r="F109" s="1" t="s">
        <v>264</v>
      </c>
    </row>
    <row r="110" spans="1:6" s="1" customFormat="1" x14ac:dyDescent="0.3">
      <c r="A110" s="2">
        <v>2773</v>
      </c>
      <c r="B110" s="1" t="s">
        <v>114</v>
      </c>
      <c r="C110" s="1">
        <v>-135.56000000000003</v>
      </c>
      <c r="D110" s="1">
        <f>ROUND(C110,0)</f>
        <v>-136</v>
      </c>
      <c r="E110" s="1" t="s">
        <v>284</v>
      </c>
      <c r="F110" s="1" t="s">
        <v>264</v>
      </c>
    </row>
    <row r="111" spans="1:6" s="1" customFormat="1" x14ac:dyDescent="0.3">
      <c r="A111" s="2">
        <v>2782</v>
      </c>
      <c r="B111" s="1" t="s">
        <v>115</v>
      </c>
      <c r="C111" s="1">
        <v>-30.02</v>
      </c>
      <c r="D111" s="1">
        <f>ROUND(C111,0)</f>
        <v>-30</v>
      </c>
      <c r="E111" s="1" t="s">
        <v>285</v>
      </c>
      <c r="F111" s="1" t="s">
        <v>264</v>
      </c>
    </row>
    <row r="112" spans="1:6" s="1" customFormat="1" x14ac:dyDescent="0.3">
      <c r="A112" s="2">
        <v>2837</v>
      </c>
      <c r="B112" s="1" t="s">
        <v>116</v>
      </c>
      <c r="C112" s="1">
        <v>-22</v>
      </c>
      <c r="D112" s="1">
        <f>ROUND(C112,0)</f>
        <v>-22</v>
      </c>
      <c r="E112" s="1" t="s">
        <v>213</v>
      </c>
      <c r="F112" s="1" t="s">
        <v>264</v>
      </c>
    </row>
    <row r="113" spans="1:6" s="1" customFormat="1" x14ac:dyDescent="0.3">
      <c r="A113" s="2">
        <v>2859</v>
      </c>
      <c r="B113" s="1" t="s">
        <v>117</v>
      </c>
      <c r="C113" s="1">
        <v>-90.7</v>
      </c>
      <c r="D113" s="1">
        <f>ROUND(C113,0)</f>
        <v>-91</v>
      </c>
      <c r="E113" s="1" t="s">
        <v>286</v>
      </c>
      <c r="F113" s="1" t="s">
        <v>264</v>
      </c>
    </row>
    <row r="114" spans="1:6" s="1" customFormat="1" x14ac:dyDescent="0.3">
      <c r="A114" s="2">
        <v>2870</v>
      </c>
      <c r="B114" s="1" t="s">
        <v>118</v>
      </c>
      <c r="C114" s="1">
        <v>-149.64000000000001</v>
      </c>
      <c r="D114" s="1">
        <f>ROUND(C114,0)</f>
        <v>-150</v>
      </c>
      <c r="E114" s="1" t="s">
        <v>287</v>
      </c>
      <c r="F114" s="1" t="s">
        <v>264</v>
      </c>
    </row>
    <row r="115" spans="1:6" s="1" customFormat="1" x14ac:dyDescent="0.3">
      <c r="A115" s="2">
        <v>2902</v>
      </c>
      <c r="B115" s="1" t="s">
        <v>119</v>
      </c>
      <c r="C115" s="1">
        <v>-60.76</v>
      </c>
      <c r="D115" s="1">
        <f>ROUND(C115,0)</f>
        <v>-61</v>
      </c>
      <c r="E115" s="1" t="s">
        <v>288</v>
      </c>
      <c r="F115" s="1" t="s">
        <v>264</v>
      </c>
    </row>
    <row r="116" spans="1:6" s="1" customFormat="1" x14ac:dyDescent="0.3">
      <c r="A116" s="2">
        <v>298</v>
      </c>
      <c r="B116" s="1" t="s">
        <v>120</v>
      </c>
      <c r="C116" s="1">
        <v>-50984.430000000022</v>
      </c>
      <c r="D116" s="1">
        <f>ROUND(C116,0)</f>
        <v>-50984</v>
      </c>
      <c r="E116" s="1" t="s">
        <v>289</v>
      </c>
      <c r="F116" s="1" t="s">
        <v>264</v>
      </c>
    </row>
    <row r="117" spans="1:6" s="1" customFormat="1" x14ac:dyDescent="0.3">
      <c r="A117" s="2">
        <v>309</v>
      </c>
      <c r="B117" s="1" t="s">
        <v>121</v>
      </c>
      <c r="C117" s="1">
        <v>-4673.8500000000013</v>
      </c>
      <c r="D117" s="1">
        <f>ROUND(C117,0)</f>
        <v>-4674</v>
      </c>
      <c r="E117" s="1" t="s">
        <v>290</v>
      </c>
      <c r="F117" s="1" t="s">
        <v>264</v>
      </c>
    </row>
    <row r="118" spans="1:6" s="1" customFormat="1" x14ac:dyDescent="0.3">
      <c r="A118" s="2">
        <v>310</v>
      </c>
      <c r="B118" s="1" t="s">
        <v>122</v>
      </c>
      <c r="C118" s="1">
        <v>-214.33</v>
      </c>
      <c r="D118" s="1">
        <f>ROUND(C118,0)</f>
        <v>-214</v>
      </c>
      <c r="E118" s="1" t="s">
        <v>270</v>
      </c>
      <c r="F118" s="1" t="s">
        <v>264</v>
      </c>
    </row>
    <row r="119" spans="1:6" s="1" customFormat="1" x14ac:dyDescent="0.3">
      <c r="A119" s="2">
        <v>395</v>
      </c>
      <c r="B119" s="1" t="s">
        <v>123</v>
      </c>
      <c r="C119" s="1">
        <v>-4525.9999999999991</v>
      </c>
      <c r="D119" s="1">
        <f>ROUND(C119,0)</f>
        <v>-4526</v>
      </c>
      <c r="E119" s="1" t="s">
        <v>291</v>
      </c>
      <c r="F119" s="1" t="s">
        <v>264</v>
      </c>
    </row>
    <row r="120" spans="1:6" s="1" customFormat="1" x14ac:dyDescent="0.3">
      <c r="A120" s="2">
        <v>396</v>
      </c>
      <c r="B120" s="1" t="s">
        <v>124</v>
      </c>
      <c r="C120" s="1">
        <v>-12739.679999999995</v>
      </c>
      <c r="D120" s="1">
        <f>ROUND(C120,0)</f>
        <v>-12740</v>
      </c>
      <c r="E120" s="1" t="s">
        <v>292</v>
      </c>
      <c r="F120" s="1" t="s">
        <v>264</v>
      </c>
    </row>
    <row r="121" spans="1:6" s="1" customFormat="1" x14ac:dyDescent="0.3">
      <c r="A121" s="2">
        <v>397</v>
      </c>
      <c r="B121" s="1" t="s">
        <v>125</v>
      </c>
      <c r="C121" s="1">
        <v>-800.75</v>
      </c>
      <c r="D121" s="1">
        <f>ROUND(C121,0)</f>
        <v>-801</v>
      </c>
      <c r="E121" s="1" t="s">
        <v>293</v>
      </c>
      <c r="F121" s="1" t="s">
        <v>264</v>
      </c>
    </row>
    <row r="122" spans="1:6" s="1" customFormat="1" x14ac:dyDescent="0.3">
      <c r="A122" s="2">
        <v>496</v>
      </c>
      <c r="B122" s="1" t="s">
        <v>126</v>
      </c>
      <c r="C122" s="1">
        <v>-25.88</v>
      </c>
      <c r="D122" s="1">
        <f>ROUND(C122,0)</f>
        <v>-26</v>
      </c>
      <c r="E122" s="1" t="s">
        <v>294</v>
      </c>
      <c r="F122" s="1" t="s">
        <v>264</v>
      </c>
    </row>
    <row r="123" spans="1:6" s="1" customFormat="1" x14ac:dyDescent="0.3">
      <c r="A123" s="2">
        <v>601</v>
      </c>
      <c r="B123" s="1" t="s">
        <v>127</v>
      </c>
      <c r="C123" s="1">
        <v>-6144.8200000000043</v>
      </c>
      <c r="D123" s="1">
        <f>ROUND(C123,0)</f>
        <v>-6145</v>
      </c>
      <c r="E123" s="1" t="s">
        <v>295</v>
      </c>
      <c r="F123" s="1" t="s">
        <v>264</v>
      </c>
    </row>
    <row r="124" spans="1:6" s="1" customFormat="1" x14ac:dyDescent="0.3">
      <c r="A124" s="2">
        <v>637</v>
      </c>
      <c r="B124" s="1" t="s">
        <v>128</v>
      </c>
      <c r="C124" s="1">
        <v>-1679.1100000000004</v>
      </c>
      <c r="D124" s="1">
        <f>ROUND(C124,0)</f>
        <v>-1679</v>
      </c>
      <c r="E124" s="1" t="s">
        <v>296</v>
      </c>
      <c r="F124" s="1" t="s">
        <v>264</v>
      </c>
    </row>
    <row r="125" spans="1:6" s="1" customFormat="1" x14ac:dyDescent="0.3">
      <c r="A125" s="2">
        <v>640</v>
      </c>
      <c r="B125" s="1" t="s">
        <v>129</v>
      </c>
      <c r="C125" s="1">
        <v>-137.01000000000002</v>
      </c>
      <c r="D125" s="1">
        <f>ROUND(C125,0)</f>
        <v>-137</v>
      </c>
      <c r="E125" s="1" t="s">
        <v>297</v>
      </c>
      <c r="F125" s="1" t="s">
        <v>264</v>
      </c>
    </row>
    <row r="126" spans="1:6" s="1" customFormat="1" x14ac:dyDescent="0.3">
      <c r="A126" s="2">
        <v>783</v>
      </c>
      <c r="B126" s="1" t="s">
        <v>130</v>
      </c>
      <c r="C126" s="1">
        <v>-44.19</v>
      </c>
      <c r="D126" s="1">
        <f>ROUND(C126,0)</f>
        <v>-44</v>
      </c>
      <c r="E126" s="1" t="s">
        <v>211</v>
      </c>
      <c r="F126" s="1" t="s">
        <v>264</v>
      </c>
    </row>
    <row r="127" spans="1:6" s="1" customFormat="1" x14ac:dyDescent="0.3">
      <c r="A127" s="2">
        <v>804</v>
      </c>
      <c r="B127" s="1" t="s">
        <v>131</v>
      </c>
      <c r="C127" s="1">
        <v>-148.28</v>
      </c>
      <c r="D127" s="1">
        <f>ROUND(C127,0)</f>
        <v>-148</v>
      </c>
      <c r="E127" s="1" t="s">
        <v>298</v>
      </c>
      <c r="F127" s="1" t="s">
        <v>264</v>
      </c>
    </row>
    <row r="128" spans="1:6" s="1" customFormat="1" x14ac:dyDescent="0.3">
      <c r="A128" s="2">
        <v>820</v>
      </c>
      <c r="B128" s="1" t="s">
        <v>132</v>
      </c>
      <c r="C128" s="1">
        <v>-99</v>
      </c>
      <c r="D128" s="1">
        <f>ROUND(C128,0)</f>
        <v>-99</v>
      </c>
      <c r="E128" s="1" t="s">
        <v>299</v>
      </c>
      <c r="F128" s="1" t="s">
        <v>264</v>
      </c>
    </row>
    <row r="129" spans="1:6" s="1" customFormat="1" x14ac:dyDescent="0.3">
      <c r="A129" s="2">
        <v>945</v>
      </c>
      <c r="B129" s="1" t="s">
        <v>133</v>
      </c>
      <c r="C129" s="1">
        <v>-646</v>
      </c>
      <c r="D129" s="1">
        <f>ROUND(C129,0)</f>
        <v>-646</v>
      </c>
      <c r="E129" s="1" t="s">
        <v>300</v>
      </c>
      <c r="F129" s="1" t="s">
        <v>264</v>
      </c>
    </row>
    <row r="130" spans="1:6" s="1" customFormat="1" x14ac:dyDescent="0.3">
      <c r="A130" s="2">
        <v>1952</v>
      </c>
      <c r="B130" s="1" t="s">
        <v>134</v>
      </c>
      <c r="C130" s="1">
        <v>-3907.9900000000021</v>
      </c>
      <c r="D130" s="1">
        <f>ROUND(C130,0)</f>
        <v>-3908</v>
      </c>
      <c r="E130" s="1" t="s">
        <v>301</v>
      </c>
      <c r="F130" s="1" t="s">
        <v>302</v>
      </c>
    </row>
    <row r="131" spans="1:6" s="1" customFormat="1" x14ac:dyDescent="0.3">
      <c r="A131" s="2">
        <v>319</v>
      </c>
      <c r="B131" s="1" t="s">
        <v>135</v>
      </c>
      <c r="C131" s="1">
        <v>-6094.1999999999989</v>
      </c>
      <c r="D131" s="1">
        <f>ROUND(C131,0)</f>
        <v>-6094</v>
      </c>
      <c r="E131" s="1" t="s">
        <v>304</v>
      </c>
      <c r="F131" s="1" t="s">
        <v>303</v>
      </c>
    </row>
    <row r="132" spans="1:6" s="1" customFormat="1" x14ac:dyDescent="0.3">
      <c r="A132" s="2">
        <v>1529</v>
      </c>
      <c r="B132" s="1" t="s">
        <v>136</v>
      </c>
      <c r="C132" s="1">
        <v>-128.49</v>
      </c>
      <c r="D132" s="1">
        <f>ROUND(C132,0)</f>
        <v>-128</v>
      </c>
      <c r="E132" s="1" t="s">
        <v>305</v>
      </c>
      <c r="F132" s="1" t="s">
        <v>306</v>
      </c>
    </row>
    <row r="133" spans="1:6" s="1" customFormat="1" x14ac:dyDescent="0.3">
      <c r="A133" s="2">
        <v>2040</v>
      </c>
      <c r="B133" s="1" t="s">
        <v>137</v>
      </c>
      <c r="C133" s="1">
        <v>-336.83</v>
      </c>
      <c r="D133" s="1">
        <f>ROUND(C133,0)</f>
        <v>-337</v>
      </c>
      <c r="E133" s="1" t="s">
        <v>307</v>
      </c>
      <c r="F133" s="1" t="s">
        <v>306</v>
      </c>
    </row>
    <row r="134" spans="1:6" s="1" customFormat="1" x14ac:dyDescent="0.3">
      <c r="A134" s="2">
        <v>1091</v>
      </c>
      <c r="B134" s="1" t="s">
        <v>138</v>
      </c>
      <c r="C134" s="1">
        <v>-8236.9599999999991</v>
      </c>
      <c r="D134" s="1">
        <f>ROUND(C134,0)</f>
        <v>-8237</v>
      </c>
      <c r="E134" s="1" t="s">
        <v>308</v>
      </c>
      <c r="F134" s="1" t="s">
        <v>188</v>
      </c>
    </row>
    <row r="135" spans="1:6" s="1" customFormat="1" x14ac:dyDescent="0.3">
      <c r="A135" s="2">
        <v>1157</v>
      </c>
      <c r="B135" s="1" t="s">
        <v>139</v>
      </c>
      <c r="C135" s="1">
        <v>-91.1</v>
      </c>
      <c r="D135" s="1">
        <f>ROUND(C135,0)</f>
        <v>-91</v>
      </c>
      <c r="E135" s="1" t="s">
        <v>309</v>
      </c>
      <c r="F135" s="1" t="s">
        <v>188</v>
      </c>
    </row>
    <row r="136" spans="1:6" s="1" customFormat="1" x14ac:dyDescent="0.3">
      <c r="A136" s="2">
        <v>2420</v>
      </c>
      <c r="B136" s="1" t="s">
        <v>140</v>
      </c>
      <c r="C136" s="1">
        <v>-15931.950000000004</v>
      </c>
      <c r="D136" s="1">
        <f>ROUND(C136,0)</f>
        <v>-15932</v>
      </c>
      <c r="E136" s="1" t="s">
        <v>310</v>
      </c>
      <c r="F136" s="1" t="s">
        <v>188</v>
      </c>
    </row>
    <row r="137" spans="1:6" s="1" customFormat="1" x14ac:dyDescent="0.3">
      <c r="A137" s="2">
        <v>2506</v>
      </c>
      <c r="B137" s="1" t="s">
        <v>141</v>
      </c>
      <c r="C137" s="1">
        <v>-13494.47</v>
      </c>
      <c r="D137" s="1">
        <f>ROUND(C137,0)</f>
        <v>-13494</v>
      </c>
      <c r="E137" s="1" t="s">
        <v>311</v>
      </c>
      <c r="F137" s="1" t="s">
        <v>188</v>
      </c>
    </row>
    <row r="138" spans="1:6" s="1" customFormat="1" x14ac:dyDescent="0.3">
      <c r="A138" s="2">
        <v>2805</v>
      </c>
      <c r="B138" s="1" t="s">
        <v>142</v>
      </c>
      <c r="C138" s="1">
        <v>-134.07999999999998</v>
      </c>
      <c r="D138" s="1">
        <f>ROUND(C138,0)</f>
        <v>-134</v>
      </c>
      <c r="E138" s="1" t="s">
        <v>312</v>
      </c>
      <c r="F138" s="1" t="s">
        <v>188</v>
      </c>
    </row>
    <row r="139" spans="1:6" s="1" customFormat="1" x14ac:dyDescent="0.3">
      <c r="A139" s="2">
        <v>340</v>
      </c>
      <c r="B139" s="1" t="s">
        <v>143</v>
      </c>
      <c r="C139" s="1">
        <v>-18050.53999999999</v>
      </c>
      <c r="D139" s="1">
        <f>ROUND(C139,0)</f>
        <v>-18051</v>
      </c>
      <c r="E139" s="1" t="s">
        <v>313</v>
      </c>
      <c r="F139" s="1" t="s">
        <v>188</v>
      </c>
    </row>
    <row r="140" spans="1:6" s="1" customFormat="1" x14ac:dyDescent="0.3">
      <c r="A140" s="2">
        <v>751</v>
      </c>
      <c r="B140" s="1" t="s">
        <v>144</v>
      </c>
      <c r="C140" s="1">
        <v>-10418.060000000007</v>
      </c>
      <c r="D140" s="1">
        <f>ROUND(C140,0)</f>
        <v>-10418</v>
      </c>
      <c r="E140" s="1" t="s">
        <v>314</v>
      </c>
      <c r="F140" s="1" t="s">
        <v>188</v>
      </c>
    </row>
    <row r="141" spans="1:6" s="1" customFormat="1" x14ac:dyDescent="0.3">
      <c r="A141" s="2">
        <v>85</v>
      </c>
      <c r="B141" s="1" t="s">
        <v>145</v>
      </c>
      <c r="C141" s="1">
        <v>-169.98000000000002</v>
      </c>
      <c r="D141" s="1">
        <f>ROUND(C141,0)</f>
        <v>-170</v>
      </c>
      <c r="E141" s="1" t="s">
        <v>311</v>
      </c>
      <c r="F141" s="1" t="s">
        <v>188</v>
      </c>
    </row>
    <row r="142" spans="1:6" s="1" customFormat="1" x14ac:dyDescent="0.3">
      <c r="A142" s="2">
        <v>2742</v>
      </c>
      <c r="B142" s="1" t="s">
        <v>146</v>
      </c>
      <c r="C142" s="1">
        <v>-50.55</v>
      </c>
      <c r="D142" s="1">
        <f>ROUND(C142,0)</f>
        <v>-51</v>
      </c>
      <c r="E142" s="1" t="s">
        <v>315</v>
      </c>
      <c r="F142" s="1" t="s">
        <v>316</v>
      </c>
    </row>
    <row r="143" spans="1:6" s="1" customFormat="1" x14ac:dyDescent="0.3">
      <c r="A143" s="2">
        <v>1946</v>
      </c>
      <c r="B143" s="1" t="s">
        <v>147</v>
      </c>
      <c r="C143" s="1">
        <v>-49.440000000000168</v>
      </c>
      <c r="D143" s="1">
        <f>ROUND(C143,0)</f>
        <v>-49</v>
      </c>
      <c r="E143" s="1" t="s">
        <v>317</v>
      </c>
      <c r="F143" s="1" t="s">
        <v>318</v>
      </c>
    </row>
    <row r="144" spans="1:6" s="1" customFormat="1" x14ac:dyDescent="0.3">
      <c r="A144" s="2">
        <v>2424</v>
      </c>
      <c r="B144" s="1" t="s">
        <v>148</v>
      </c>
      <c r="C144" s="1">
        <v>-49.2</v>
      </c>
      <c r="D144" s="1">
        <f>ROUND(C144,0)</f>
        <v>-49</v>
      </c>
      <c r="E144" s="1" t="s">
        <v>319</v>
      </c>
      <c r="F144" s="1" t="s">
        <v>318</v>
      </c>
    </row>
    <row r="145" spans="1:6" s="1" customFormat="1" x14ac:dyDescent="0.3">
      <c r="A145" s="2">
        <v>569</v>
      </c>
      <c r="B145" s="1" t="s">
        <v>149</v>
      </c>
      <c r="C145" s="1">
        <v>-7519.92</v>
      </c>
      <c r="D145" s="1">
        <f>ROUND(C145,0)</f>
        <v>-7520</v>
      </c>
      <c r="E145" s="1" t="s">
        <v>320</v>
      </c>
      <c r="F145" s="1" t="s">
        <v>318</v>
      </c>
    </row>
    <row r="146" spans="1:6" s="1" customFormat="1" x14ac:dyDescent="0.3">
      <c r="A146" s="2">
        <v>1415</v>
      </c>
      <c r="B146" s="1" t="s">
        <v>150</v>
      </c>
      <c r="C146" s="1">
        <v>-5506.4199999999992</v>
      </c>
      <c r="D146" s="1">
        <f>ROUND(C146,0)</f>
        <v>-5506</v>
      </c>
      <c r="E146" s="1" t="s">
        <v>321</v>
      </c>
      <c r="F146" s="1" t="s">
        <v>322</v>
      </c>
    </row>
    <row r="147" spans="1:6" s="1" customFormat="1" x14ac:dyDescent="0.3">
      <c r="A147" s="2">
        <v>1465</v>
      </c>
      <c r="B147" s="1" t="s">
        <v>151</v>
      </c>
      <c r="C147" s="1">
        <v>-25265.339999999986</v>
      </c>
      <c r="D147" s="1">
        <f>ROUND(C147,0)</f>
        <v>-25265</v>
      </c>
      <c r="E147" s="1" t="s">
        <v>323</v>
      </c>
      <c r="F147" s="1" t="s">
        <v>322</v>
      </c>
    </row>
    <row r="148" spans="1:6" s="1" customFormat="1" x14ac:dyDescent="0.3">
      <c r="A148" s="2">
        <v>2036</v>
      </c>
      <c r="B148" s="1" t="s">
        <v>152</v>
      </c>
      <c r="C148" s="1">
        <v>-254.78000000000003</v>
      </c>
      <c r="D148" s="1">
        <f>ROUND(C148,0)</f>
        <v>-255</v>
      </c>
      <c r="E148" s="1" t="s">
        <v>324</v>
      </c>
      <c r="F148" s="1" t="s">
        <v>322</v>
      </c>
    </row>
    <row r="149" spans="1:6" s="1" customFormat="1" x14ac:dyDescent="0.3">
      <c r="A149" s="2">
        <v>2037</v>
      </c>
      <c r="B149" s="1" t="s">
        <v>153</v>
      </c>
      <c r="C149" s="1">
        <v>-1137.9499999999998</v>
      </c>
      <c r="D149" s="1">
        <f>ROUND(C149,0)</f>
        <v>-1138</v>
      </c>
      <c r="E149" s="1" t="s">
        <v>325</v>
      </c>
      <c r="F149" s="1" t="s">
        <v>322</v>
      </c>
    </row>
    <row r="150" spans="1:6" s="1" customFormat="1" x14ac:dyDescent="0.3">
      <c r="A150" s="2">
        <v>2105</v>
      </c>
      <c r="B150" s="1" t="s">
        <v>154</v>
      </c>
      <c r="C150" s="1">
        <v>-2176.3799999999997</v>
      </c>
      <c r="D150" s="1">
        <f>ROUND(C150,0)</f>
        <v>-2176</v>
      </c>
      <c r="E150" s="1" t="s">
        <v>326</v>
      </c>
      <c r="F150" s="1" t="s">
        <v>322</v>
      </c>
    </row>
    <row r="151" spans="1:6" s="1" customFormat="1" x14ac:dyDescent="0.3">
      <c r="A151" s="2">
        <v>218</v>
      </c>
      <c r="B151" s="1" t="s">
        <v>155</v>
      </c>
      <c r="C151" s="1">
        <v>-1455.3799999999999</v>
      </c>
      <c r="D151" s="1">
        <f>ROUND(C151,0)</f>
        <v>-1455</v>
      </c>
      <c r="E151" s="1" t="s">
        <v>327</v>
      </c>
      <c r="F151" s="1" t="s">
        <v>322</v>
      </c>
    </row>
    <row r="152" spans="1:6" s="1" customFormat="1" x14ac:dyDescent="0.3">
      <c r="A152" s="2">
        <v>2194</v>
      </c>
      <c r="B152" s="1" t="s">
        <v>156</v>
      </c>
      <c r="C152" s="1">
        <v>-6261.6100000000015</v>
      </c>
      <c r="D152" s="1">
        <f>ROUND(C152,0)</f>
        <v>-6262</v>
      </c>
      <c r="E152" s="1" t="s">
        <v>328</v>
      </c>
      <c r="F152" s="1" t="s">
        <v>322</v>
      </c>
    </row>
    <row r="153" spans="1:6" s="1" customFormat="1" x14ac:dyDescent="0.3">
      <c r="A153" s="2">
        <v>2408</v>
      </c>
      <c r="B153" s="1" t="s">
        <v>157</v>
      </c>
      <c r="C153" s="1">
        <v>-301</v>
      </c>
      <c r="D153" s="1">
        <f>ROUND(C153,0)</f>
        <v>-301</v>
      </c>
      <c r="E153" s="1" t="s">
        <v>329</v>
      </c>
      <c r="F153" s="1" t="s">
        <v>322</v>
      </c>
    </row>
    <row r="154" spans="1:6" s="1" customFormat="1" x14ac:dyDescent="0.3">
      <c r="A154" s="2">
        <v>2648</v>
      </c>
      <c r="B154" s="1" t="s">
        <v>158</v>
      </c>
      <c r="C154" s="1">
        <v>-11</v>
      </c>
      <c r="D154" s="1">
        <f>ROUND(C154,0)</f>
        <v>-11</v>
      </c>
      <c r="E154" s="1" t="s">
        <v>330</v>
      </c>
      <c r="F154" s="1" t="s">
        <v>322</v>
      </c>
    </row>
    <row r="155" spans="1:6" s="1" customFormat="1" x14ac:dyDescent="0.3">
      <c r="A155" s="2">
        <v>2768</v>
      </c>
      <c r="B155" s="1" t="s">
        <v>159</v>
      </c>
      <c r="C155" s="1">
        <v>-857.44999999999993</v>
      </c>
      <c r="D155" s="1">
        <f>ROUND(C155,0)</f>
        <v>-857</v>
      </c>
      <c r="E155" s="1" t="s">
        <v>331</v>
      </c>
      <c r="F155" s="1" t="s">
        <v>322</v>
      </c>
    </row>
    <row r="156" spans="1:6" s="1" customFormat="1" x14ac:dyDescent="0.3">
      <c r="A156" s="2">
        <v>718</v>
      </c>
      <c r="B156" s="1" t="s">
        <v>160</v>
      </c>
      <c r="C156" s="1">
        <v>-3943.3199999999993</v>
      </c>
      <c r="D156" s="1">
        <f>ROUND(C156,0)</f>
        <v>-3943</v>
      </c>
      <c r="E156" s="1" t="s">
        <v>332</v>
      </c>
      <c r="F156" s="1" t="s">
        <v>322</v>
      </c>
    </row>
    <row r="157" spans="1:6" s="1" customFormat="1" x14ac:dyDescent="0.3">
      <c r="A157" s="2">
        <v>821</v>
      </c>
      <c r="B157" s="1" t="s">
        <v>161</v>
      </c>
      <c r="C157" s="1">
        <v>-45.650000000000006</v>
      </c>
      <c r="D157" s="1">
        <f>ROUND(C157,0)</f>
        <v>-46</v>
      </c>
      <c r="E157" s="1" t="s">
        <v>333</v>
      </c>
      <c r="F157" s="1" t="s">
        <v>322</v>
      </c>
    </row>
    <row r="158" spans="1:6" s="1" customFormat="1" x14ac:dyDescent="0.3">
      <c r="A158" s="2">
        <v>826</v>
      </c>
      <c r="B158" s="1" t="s">
        <v>162</v>
      </c>
      <c r="C158" s="1">
        <v>-1746.4999999999998</v>
      </c>
      <c r="D158" s="1">
        <f>ROUND(C158,0)</f>
        <v>-1747</v>
      </c>
      <c r="E158" s="1" t="s">
        <v>334</v>
      </c>
      <c r="F158" s="1" t="s">
        <v>322</v>
      </c>
    </row>
    <row r="159" spans="1:6" s="1" customFormat="1" x14ac:dyDescent="0.3">
      <c r="A159" s="2">
        <v>862</v>
      </c>
      <c r="B159" s="1" t="s">
        <v>163</v>
      </c>
      <c r="C159" s="1">
        <v>-3271.8100000000004</v>
      </c>
      <c r="D159" s="1">
        <f>ROUND(C159,0)</f>
        <v>-3272</v>
      </c>
      <c r="E159" s="1" t="s">
        <v>335</v>
      </c>
      <c r="F159" s="1" t="s">
        <v>322</v>
      </c>
    </row>
    <row r="160" spans="1:6" s="1" customFormat="1" x14ac:dyDescent="0.3">
      <c r="A160" s="2">
        <v>2239</v>
      </c>
      <c r="B160" s="1" t="s">
        <v>164</v>
      </c>
      <c r="C160" s="1">
        <v>-2477.42</v>
      </c>
      <c r="D160" s="1">
        <f>ROUND(C160,0)</f>
        <v>-2477</v>
      </c>
      <c r="E160" s="1" t="s">
        <v>336</v>
      </c>
      <c r="F160" s="1" t="s">
        <v>337</v>
      </c>
    </row>
    <row r="161" spans="1:6" s="1" customFormat="1" x14ac:dyDescent="0.3">
      <c r="A161" s="2">
        <v>622</v>
      </c>
      <c r="B161" s="1" t="s">
        <v>165</v>
      </c>
      <c r="C161" s="1">
        <v>-1000.99</v>
      </c>
      <c r="D161" s="1">
        <f>ROUND(C161,0)</f>
        <v>-1001</v>
      </c>
      <c r="E161" s="1" t="s">
        <v>338</v>
      </c>
      <c r="F161" s="1" t="s">
        <v>337</v>
      </c>
    </row>
    <row r="162" spans="1:6" s="1" customFormat="1" x14ac:dyDescent="0.3">
      <c r="A162" s="2">
        <v>1031</v>
      </c>
      <c r="B162" s="1" t="s">
        <v>166</v>
      </c>
      <c r="C162" s="1">
        <v>-1973.84</v>
      </c>
      <c r="D162" s="1">
        <f>ROUND(C162,0)</f>
        <v>-1974</v>
      </c>
      <c r="E162" s="1" t="s">
        <v>339</v>
      </c>
      <c r="F162" s="1" t="s">
        <v>340</v>
      </c>
    </row>
    <row r="163" spans="1:6" s="1" customFormat="1" x14ac:dyDescent="0.3">
      <c r="A163" s="2">
        <v>1423</v>
      </c>
      <c r="B163" s="1" t="s">
        <v>167</v>
      </c>
      <c r="C163" s="1">
        <v>-1953.2099999999994</v>
      </c>
      <c r="D163" s="1">
        <f>ROUND(C163,0)</f>
        <v>-1953</v>
      </c>
      <c r="E163" s="1" t="s">
        <v>341</v>
      </c>
      <c r="F163" s="1" t="s">
        <v>340</v>
      </c>
    </row>
    <row r="164" spans="1:6" s="1" customFormat="1" x14ac:dyDescent="0.3">
      <c r="A164" s="2">
        <v>2133</v>
      </c>
      <c r="B164" s="1" t="s">
        <v>168</v>
      </c>
      <c r="C164" s="1">
        <v>-820.93000000000006</v>
      </c>
      <c r="D164" s="1">
        <f>ROUND(C164,0)</f>
        <v>-821</v>
      </c>
      <c r="E164" s="1" t="s">
        <v>342</v>
      </c>
      <c r="F164" s="1" t="s">
        <v>340</v>
      </c>
    </row>
    <row r="165" spans="1:6" s="1" customFormat="1" x14ac:dyDescent="0.3">
      <c r="A165" s="2">
        <v>679</v>
      </c>
      <c r="B165" s="1" t="s">
        <v>169</v>
      </c>
      <c r="C165" s="1">
        <v>-5601.6100000000015</v>
      </c>
      <c r="D165" s="1">
        <f>ROUND(C165,0)</f>
        <v>-5602</v>
      </c>
      <c r="E165" s="1" t="s">
        <v>343</v>
      </c>
      <c r="F165" s="1" t="s">
        <v>340</v>
      </c>
    </row>
    <row r="166" spans="1:6" s="1" customFormat="1" x14ac:dyDescent="0.3">
      <c r="A166" s="2">
        <v>1577</v>
      </c>
      <c r="B166" s="1" t="s">
        <v>170</v>
      </c>
      <c r="C166" s="1">
        <v>-2334.3399999999997</v>
      </c>
      <c r="D166" s="1">
        <f>ROUND(C166,0)</f>
        <v>-2334</v>
      </c>
      <c r="E166" s="1" t="s">
        <v>344</v>
      </c>
      <c r="F166" s="1" t="s">
        <v>345</v>
      </c>
    </row>
    <row r="167" spans="1:6" s="1" customFormat="1" x14ac:dyDescent="0.3">
      <c r="A167" s="2">
        <v>2097</v>
      </c>
      <c r="B167" s="1" t="s">
        <v>171</v>
      </c>
      <c r="C167" s="1">
        <v>-92.15</v>
      </c>
      <c r="D167" s="1">
        <f>ROUND(C167,0)</f>
        <v>-92</v>
      </c>
      <c r="E167" s="1" t="s">
        <v>346</v>
      </c>
      <c r="F167" s="1" t="s">
        <v>345</v>
      </c>
    </row>
    <row r="168" spans="1:6" s="1" customFormat="1" x14ac:dyDescent="0.3">
      <c r="A168" s="2">
        <v>2236</v>
      </c>
      <c r="B168" s="1" t="s">
        <v>172</v>
      </c>
      <c r="C168" s="1">
        <v>-1755.83</v>
      </c>
      <c r="D168" s="1">
        <f>ROUND(C168,0)</f>
        <v>-1756</v>
      </c>
      <c r="E168" s="1" t="s">
        <v>347</v>
      </c>
      <c r="F168" s="1" t="s">
        <v>348</v>
      </c>
    </row>
    <row r="169" spans="1:6" s="1" customFormat="1" x14ac:dyDescent="0.3">
      <c r="A169" s="2">
        <v>420</v>
      </c>
      <c r="B169" s="1" t="s">
        <v>173</v>
      </c>
      <c r="C169" s="1">
        <v>-2272.11</v>
      </c>
      <c r="D169" s="1">
        <f>ROUND(C169,0)</f>
        <v>-2272</v>
      </c>
      <c r="E169" s="1" t="s">
        <v>349</v>
      </c>
      <c r="F169" s="1" t="s">
        <v>350</v>
      </c>
    </row>
    <row r="170" spans="1:6" s="1" customFormat="1" x14ac:dyDescent="0.3">
      <c r="A170" s="2">
        <v>909</v>
      </c>
      <c r="B170" s="1" t="s">
        <v>174</v>
      </c>
      <c r="C170" s="1">
        <v>-752.5</v>
      </c>
      <c r="D170" s="1">
        <f>ROUND(C170,0)</f>
        <v>-753</v>
      </c>
      <c r="E170" s="1" t="s">
        <v>351</v>
      </c>
      <c r="F170" s="1" t="s">
        <v>348</v>
      </c>
    </row>
    <row r="171" spans="1:6" s="1" customFormat="1" x14ac:dyDescent="0.3">
      <c r="A171" s="2">
        <v>1075</v>
      </c>
      <c r="B171" s="1" t="s">
        <v>175</v>
      </c>
      <c r="C171" s="1">
        <v>-5158.1599999999989</v>
      </c>
      <c r="D171" s="1">
        <f>ROUND(C171,0)</f>
        <v>-5158</v>
      </c>
      <c r="E171" s="1" t="s">
        <v>352</v>
      </c>
      <c r="F171" s="1" t="s">
        <v>353</v>
      </c>
    </row>
    <row r="172" spans="1:6" s="1" customFormat="1" x14ac:dyDescent="0.3">
      <c r="A172" s="2">
        <v>1437</v>
      </c>
      <c r="B172" s="1" t="s">
        <v>176</v>
      </c>
      <c r="C172" s="1">
        <v>-3922.7200000000012</v>
      </c>
      <c r="D172" s="1">
        <f>ROUND(C172,0)</f>
        <v>-3923</v>
      </c>
      <c r="E172" s="1" t="s">
        <v>354</v>
      </c>
      <c r="F172" s="1" t="s">
        <v>353</v>
      </c>
    </row>
    <row r="173" spans="1:6" s="1" customFormat="1" x14ac:dyDescent="0.3">
      <c r="A173" s="2">
        <v>1655</v>
      </c>
      <c r="B173" s="1" t="s">
        <v>177</v>
      </c>
      <c r="C173" s="1">
        <v>-10794.110000000006</v>
      </c>
      <c r="D173" s="1">
        <f>ROUND(C173,0)</f>
        <v>-10794</v>
      </c>
      <c r="E173" s="1" t="s">
        <v>355</v>
      </c>
      <c r="F173" s="1" t="s">
        <v>353</v>
      </c>
    </row>
    <row r="174" spans="1:6" s="1" customFormat="1" x14ac:dyDescent="0.3">
      <c r="A174" s="2">
        <v>2471</v>
      </c>
      <c r="B174" s="1" t="s">
        <v>178</v>
      </c>
      <c r="C174" s="1">
        <v>-705.43000000000018</v>
      </c>
      <c r="D174" s="1">
        <f>ROUND(C174,0)</f>
        <v>-705</v>
      </c>
      <c r="E174" s="1" t="s">
        <v>356</v>
      </c>
      <c r="F174" s="1" t="s">
        <v>353</v>
      </c>
    </row>
    <row r="175" spans="1:6" s="1" customFormat="1" x14ac:dyDescent="0.3">
      <c r="A175" s="2">
        <v>2580</v>
      </c>
      <c r="B175" s="1" t="s">
        <v>179</v>
      </c>
      <c r="C175" s="1">
        <v>-3971.77</v>
      </c>
      <c r="D175" s="1">
        <f>ROUND(C175,0)</f>
        <v>-3972</v>
      </c>
      <c r="E175" s="1" t="s">
        <v>357</v>
      </c>
      <c r="F175" s="1" t="s">
        <v>353</v>
      </c>
    </row>
    <row r="176" spans="1:6" s="1" customFormat="1" x14ac:dyDescent="0.3">
      <c r="A176" s="2">
        <v>2670</v>
      </c>
      <c r="B176" s="1" t="s">
        <v>180</v>
      </c>
      <c r="C176" s="1">
        <v>-93.48</v>
      </c>
      <c r="D176" s="1">
        <f>ROUND(C176,0)</f>
        <v>-93</v>
      </c>
      <c r="E176" s="1" t="s">
        <v>358</v>
      </c>
      <c r="F176" s="1" t="s">
        <v>353</v>
      </c>
    </row>
    <row r="177" spans="1:6" s="1" customFormat="1" x14ac:dyDescent="0.3">
      <c r="A177" s="2">
        <v>2692</v>
      </c>
      <c r="B177" s="1" t="s">
        <v>181</v>
      </c>
      <c r="C177" s="1">
        <v>-3367.4400000000014</v>
      </c>
      <c r="D177" s="1">
        <f>ROUND(C177,0)</f>
        <v>-3367</v>
      </c>
      <c r="E177" s="1" t="s">
        <v>359</v>
      </c>
      <c r="F177" s="1" t="s">
        <v>353</v>
      </c>
    </row>
    <row r="178" spans="1:6" s="1" customFormat="1" x14ac:dyDescent="0.3">
      <c r="A178" s="2">
        <v>616</v>
      </c>
      <c r="B178" s="1" t="s">
        <v>182</v>
      </c>
      <c r="C178" s="1">
        <v>-692.63999999999965</v>
      </c>
      <c r="D178" s="1">
        <f>ROUND(C178,0)</f>
        <v>-693</v>
      </c>
      <c r="E178" s="1" t="s">
        <v>360</v>
      </c>
      <c r="F178" s="1" t="s">
        <v>353</v>
      </c>
    </row>
    <row r="179" spans="1:6" s="1" customFormat="1" x14ac:dyDescent="0.3">
      <c r="A179" s="2">
        <v>725</v>
      </c>
      <c r="B179" s="1" t="s">
        <v>183</v>
      </c>
      <c r="C179" s="1">
        <v>-1028.4800000000002</v>
      </c>
      <c r="D179" s="1">
        <f>ROUND(C179,0)</f>
        <v>-1028</v>
      </c>
      <c r="E179" s="1" t="s">
        <v>361</v>
      </c>
      <c r="F179" s="1" t="s">
        <v>353</v>
      </c>
    </row>
    <row r="180" spans="1:6" s="1" customFormat="1" x14ac:dyDescent="0.3">
      <c r="A180" s="2">
        <v>729</v>
      </c>
      <c r="B180" s="1" t="s">
        <v>184</v>
      </c>
      <c r="C180" s="1">
        <v>-1216.7800000000002</v>
      </c>
      <c r="D180" s="1">
        <f>ROUND(C180,0)</f>
        <v>-1217</v>
      </c>
      <c r="E180" s="1" t="s">
        <v>361</v>
      </c>
      <c r="F180" s="1" t="s">
        <v>353</v>
      </c>
    </row>
    <row r="181" spans="1:6" s="1" customFormat="1" x14ac:dyDescent="0.3">
      <c r="A181" s="2">
        <v>962</v>
      </c>
      <c r="B181" s="1" t="s">
        <v>185</v>
      </c>
      <c r="C181" s="1">
        <v>-3116.96</v>
      </c>
      <c r="D181" s="1">
        <f>ROUND(C181,0)</f>
        <v>-3117</v>
      </c>
      <c r="E181" s="1" t="s">
        <v>362</v>
      </c>
      <c r="F181" s="1" t="s">
        <v>353</v>
      </c>
    </row>
    <row r="182" spans="1:6" s="1" customFormat="1" x14ac:dyDescent="0.3">
      <c r="A182" s="2">
        <v>34</v>
      </c>
      <c r="B182" s="1" t="s">
        <v>186</v>
      </c>
      <c r="C182" s="1">
        <v>-160430.75</v>
      </c>
      <c r="D182" s="1">
        <f>ROUND(C182,0)</f>
        <v>-160431</v>
      </c>
      <c r="E182" s="3" t="s">
        <v>187</v>
      </c>
      <c r="F182" s="4" t="s">
        <v>188</v>
      </c>
    </row>
    <row r="183" spans="1:6" s="1" customFormat="1" x14ac:dyDescent="0.3">
      <c r="D183" s="1">
        <f>SUM(D2:D182)</f>
        <v>-770354</v>
      </c>
    </row>
    <row r="185" spans="1:6" s="1" customFormat="1" x14ac:dyDescent="0.3"/>
    <row r="186" spans="1:6" s="1" customFormat="1" x14ac:dyDescent="0.3">
      <c r="A186" s="2"/>
    </row>
    <row r="187" spans="1:6" s="1" customFormat="1" x14ac:dyDescent="0.3">
      <c r="A187" s="2"/>
    </row>
    <row r="188" spans="1:6" s="1" customFormat="1" x14ac:dyDescent="0.3">
      <c r="A188" s="2"/>
    </row>
    <row r="189" spans="1:6" s="1" customFormat="1" x14ac:dyDescent="0.3">
      <c r="A189" s="2"/>
    </row>
    <row r="190" spans="1:6" s="1" customFormat="1" x14ac:dyDescent="0.3">
      <c r="A190" s="2"/>
    </row>
    <row r="191" spans="1:6" s="1" customFormat="1" x14ac:dyDescent="0.3">
      <c r="A191" s="2"/>
    </row>
    <row r="192" spans="1:6" s="1" customFormat="1" x14ac:dyDescent="0.3">
      <c r="A192" s="2"/>
    </row>
    <row r="193" spans="1:1" s="1" customFormat="1" x14ac:dyDescent="0.3">
      <c r="A193" s="2"/>
    </row>
    <row r="194" spans="1:1" s="1" customFormat="1" x14ac:dyDescent="0.3">
      <c r="A194" s="2"/>
    </row>
    <row r="195" spans="1:1" s="1" customForma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Alejoaquiso</dc:creator>
  <cp:lastModifiedBy>Victor Alejoaquiso</cp:lastModifiedBy>
  <dcterms:created xsi:type="dcterms:W3CDTF">2025-10-24T09:49:01Z</dcterms:created>
  <dcterms:modified xsi:type="dcterms:W3CDTF">2025-10-24T10:52:42Z</dcterms:modified>
</cp:coreProperties>
</file>