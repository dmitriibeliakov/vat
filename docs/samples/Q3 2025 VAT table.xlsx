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a/VAT reporting/docs/samples/"/>
    </mc:Choice>
  </mc:AlternateContent>
  <xr:revisionPtr revIDLastSave="0" documentId="8_{C4D6A922-76C1-DF42-893B-9A0E25056892}" xr6:coauthVersionLast="47" xr6:coauthVersionMax="47" xr10:uidLastSave="{00000000-0000-0000-0000-000000000000}"/>
  <bookViews>
    <workbookView xWindow="5580" yWindow="2380" windowWidth="27640" windowHeight="16680" xr2:uid="{1B7591EB-BD30-BB4B-ADC2-7EE8CF812809}"/>
  </bookViews>
  <sheets>
    <sheet name="Sheet1" sheetId="1" r:id="rId1"/>
  </sheets>
  <calcPr calcId="181029"/>
  <pivotCaches>
    <pivotCache cacheId="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<sst xmlns="http://schemas.openxmlformats.org/spreadsheetml/2006/main" count="155" uniqueCount="94">
  <si>
    <t>Box</t>
  </si>
  <si>
    <t>Margin</t>
  </si>
  <si>
    <t>GLAccountCodeDescriptionCode</t>
  </si>
  <si>
    <t>Sum of Grand Total</t>
  </si>
  <si>
    <t>1A</t>
  </si>
  <si>
    <t>8011 Turnover Saas montly fees</t>
  </si>
  <si>
    <t>8091 Minimum booking fee</t>
  </si>
  <si>
    <t>8202 Mark up ancillary services NL Corporate</t>
  </si>
  <si>
    <t>8203 FX markup ancillary services NL Corporate</t>
  </si>
  <si>
    <t>8205 Commsions ancillary services NL Corporate</t>
  </si>
  <si>
    <t>8206  Commission Hotels (online)</t>
  </si>
  <si>
    <t>1E</t>
  </si>
  <si>
    <t>7212 Consolidator fees costs</t>
  </si>
  <si>
    <t>8100 Markup Marine</t>
  </si>
  <si>
    <t>8101 Markup Corporate</t>
  </si>
  <si>
    <t>8104 Class drops Marine</t>
  </si>
  <si>
    <t>8105 Class drops Corporate</t>
  </si>
  <si>
    <t>8106 FX markup</t>
  </si>
  <si>
    <t>8107 Consolidator markup</t>
  </si>
  <si>
    <t>8110 GDS incentive compensation markup</t>
  </si>
  <si>
    <t>8225 Extra baggage</t>
  </si>
  <si>
    <t>3B</t>
  </si>
  <si>
    <t>8010 Turnover Saas One off fees</t>
  </si>
  <si>
    <t>8021 GDS incentives</t>
  </si>
  <si>
    <t>8090 Platform subscription fee</t>
  </si>
  <si>
    <t>8212 Mark up ancillary services EU Corporate</t>
  </si>
  <si>
    <t>8213 FX markup ancillary services EU Corporate</t>
  </si>
  <si>
    <t>4A/5B</t>
  </si>
  <si>
    <t>(blank)</t>
  </si>
  <si>
    <t>40751 Outsourced personnel - IT Team</t>
  </si>
  <si>
    <t>40754 Outsourced personnel - Operations Team</t>
  </si>
  <si>
    <t>40755 Outsourced personnel - Product Team</t>
  </si>
  <si>
    <t>40756 Outsourced personnel - Sales Team</t>
  </si>
  <si>
    <t>4076 Recruitment fees</t>
  </si>
  <si>
    <t>4321 External vendors for S&amp;M</t>
  </si>
  <si>
    <t>4340 Conferences and exhibitions</t>
  </si>
  <si>
    <t>48201 IT infrastructure</t>
  </si>
  <si>
    <t>48202 IT SaaS Subscriptions</t>
  </si>
  <si>
    <t>48204 IT Data feeds</t>
  </si>
  <si>
    <t>4821 Subscriptions product team</t>
  </si>
  <si>
    <t>4824 Subscriptions Marketing team</t>
  </si>
  <si>
    <t>4825 Subscriptions Sales</t>
  </si>
  <si>
    <t>4826 Digital Marketing expenses</t>
  </si>
  <si>
    <t>4828 Subscriptions Operations</t>
  </si>
  <si>
    <t>4829 Subscriptions General</t>
  </si>
  <si>
    <t>4856 Advisory costs</t>
  </si>
  <si>
    <t>4875 Various office expense</t>
  </si>
  <si>
    <t>7223 Incidentals, errors, ADM penalties</t>
  </si>
  <si>
    <t>4B/5B</t>
  </si>
  <si>
    <t>4074 Other Personnel Costs</t>
  </si>
  <si>
    <t>40757 Outsourced personnel - Customer Success Team</t>
  </si>
  <si>
    <t>4822 Subscriptions support (Crisp, Cloudtalk)</t>
  </si>
  <si>
    <t>4823 Subscriptions finance</t>
  </si>
  <si>
    <t>7220 Compensation of Intercompany expenses</t>
  </si>
  <si>
    <t>7221 Mark up on compensation of Intercompany expenses (LV)</t>
  </si>
  <si>
    <t>5B</t>
  </si>
  <si>
    <t>150 Inventory</t>
  </si>
  <si>
    <t>160 Computers</t>
  </si>
  <si>
    <t>4020 Management Fee</t>
  </si>
  <si>
    <t>4054 Nihilwaardering</t>
  </si>
  <si>
    <t>4097 WBSO deduction</t>
  </si>
  <si>
    <t>4100 Office rent</t>
  </si>
  <si>
    <t>4140 Cleaning Fee</t>
  </si>
  <si>
    <t>4510 Legal costs</t>
  </si>
  <si>
    <t>4805 Printed matter/paper</t>
  </si>
  <si>
    <t>48203 IT Software Licenses</t>
  </si>
  <si>
    <t>4830 Telephone and fax costs</t>
  </si>
  <si>
    <t>4853 Administration costs Acountant</t>
  </si>
  <si>
    <t>4854 Administration costs</t>
  </si>
  <si>
    <t>Nothing</t>
  </si>
  <si>
    <t>8222 Mark up ancillary services outside EU Corporate</t>
  </si>
  <si>
    <t>8223 FX markup ancillary services outside EU Corporate</t>
  </si>
  <si>
    <t>No margin</t>
  </si>
  <si>
    <t>1278 Bookings cost of sale suspense</t>
  </si>
  <si>
    <t>1602 Cashback accruals</t>
  </si>
  <si>
    <t>2990 Items to be discussed Debtors</t>
  </si>
  <si>
    <t>7211 Cost of Goods Turnover (0%)</t>
  </si>
  <si>
    <t>72114 COGS_IATA_EMDA_NL</t>
  </si>
  <si>
    <t>72115 COGS_IATA_EMDS_NL</t>
  </si>
  <si>
    <t>72116 COGS_IATA_RFND_NL</t>
  </si>
  <si>
    <t>72119 COGS_IATA_TKTT_NL</t>
  </si>
  <si>
    <t>8102 Turnover Tickets Marine</t>
  </si>
  <si>
    <t>8103 Turnover Tickets Corporate</t>
  </si>
  <si>
    <t>8115 Turnover hotels</t>
  </si>
  <si>
    <t>8201 Turnover ancillary services NL Corporate</t>
  </si>
  <si>
    <t>8211 Turnover ancillary services EU Corporate</t>
  </si>
  <si>
    <t>8221 Turnover ancillary services outside EU Corporate</t>
  </si>
  <si>
    <t>1260 Deposits to suppliers</t>
  </si>
  <si>
    <t>1500 Vat Receivable (low)</t>
  </si>
  <si>
    <t>1511 Vat Receivable (high)</t>
  </si>
  <si>
    <t>1517 IC / IV Purchases within the EU</t>
  </si>
  <si>
    <t>1518 IC / IV Purchases outside the EU</t>
  </si>
  <si>
    <t>1520 TB VAT Low</t>
  </si>
  <si>
    <t>1531 TB VAT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</si>
</sst>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2" fontId="0" fillId="0" borderId="2" xfId="0" applyNumberFormat="1" applyBorder="1"/>
    <xf numFmtId="0" fontId="0" fillId="0" borderId="3" xfId="0" applyBorder="1"/>
    <xf numFmtId="0" fontId="0" fillId="0" borderId="4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2" fontId="0" fillId="0" borderId="8" xfId="0" applyNumberFormat="1" applyBorder="1"/>
    <xf numFmtId="0" fontId="0" fillId="0" borderId="1" xfId="0" pivotButton="1" applyBorder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Q3%202025%20VAT%20declaration%20-%20V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mitrii Beliakov" refreshedDate="46051.589247453703" refreshedVersion="8" recordCount="151" xr:uid="{271577C9-D573-854C-8198-8BF467413F62}">
  <cacheSource type="worksheet">
    <worksheetSource ref="A1:H152" sheet="Table" r:id="rId2"/>
  </cacheSource>
  <cacheFields count="8">
    <cacheField name="VATCodeDescriptionCode" numFmtId="0">
      <sharedItems count="12">
        <s v="10 Purchases EU 21% - Acquisition within EU"/>
        <s v="100 Commission 21%"/>
        <s v="101 Commission  - EU"/>
        <s v="102 Commission Non EU"/>
        <s v="12 Purchases outside EU"/>
        <s v="2  Ticket sales 21% NL"/>
        <s v="20 Ticket sales NL 0%"/>
        <s v="3 NL VAT 9% - VAT low rate, excluding (purchase)"/>
        <s v="4 NL VAT 21% - VAT high rate, excluding (purchase)"/>
        <s v="6 Ticket sales outside EU"/>
        <s v="8 Ticket Sales within EU"/>
        <s v="95 Ancill services NL"/>
      </sharedItems>
    </cacheField>
    <cacheField name="Box" numFmtId="0">
      <sharedItems count="7">
        <s v="Nothing"/>
        <s v="4B/5B"/>
        <s v="1A"/>
        <s v="3B"/>
        <s v="4A/5B"/>
        <s v="1E"/>
        <s v="5B"/>
      </sharedItems>
    </cacheField>
    <cacheField name="Margin" numFmtId="0">
      <sharedItems containsBlank="1" count="3">
        <m/>
        <s v="Margin"/>
        <s v="No margin"/>
      </sharedItems>
    </cacheField>
    <cacheField name="GLAccountCodeDescriptionCode" numFmtId="0">
      <sharedItems count="81">
        <s v="1511 Vat Receivable (high)"/>
        <s v="1517 IC / IV Purchases within the EU"/>
        <s v="1602 Cashback accruals"/>
        <s v="4074 Other Personnel Costs"/>
        <s v="40751 Outsourced personnel - IT Team"/>
        <s v="40754 Outsourced personnel - Operations Team"/>
        <s v="40755 Outsourced personnel - Product Team"/>
        <s v="40756 Outsourced personnel - Sales Team"/>
        <s v="40757 Outsourced personnel - Customer Success Team"/>
        <s v="4076 Recruitment fees"/>
        <s v="4340 Conferences and exhibitions"/>
        <s v="48201 IT infrastructure"/>
        <s v="48202 IT SaaS Subscriptions"/>
        <s v="4822 Subscriptions support (Crisp, Cloudtalk)"/>
        <s v="4823 Subscriptions finance"/>
        <s v="4824 Subscriptions Marketing team"/>
        <s v="4825 Subscriptions Sales"/>
        <s v="4826 Digital Marketing expenses"/>
        <s v="4828 Subscriptions Operations"/>
        <s v="4829 Subscriptions General"/>
        <s v="4875 Various office expense"/>
        <s v="7220 Compensation of Intercompany expenses"/>
        <s v="7221 Mark up on compensation of Intercompany expenses (LV)"/>
        <s v="8091 Minimum booking fee"/>
        <s v="8090 Platform subscription fee"/>
        <s v="1260 Deposits to suppliers"/>
        <s v="1518 IC / IV Purchases outside the EU"/>
        <s v="4321 External vendors for S&amp;M"/>
        <s v="48204 IT Data feeds"/>
        <s v="4821 Subscriptions product team"/>
        <s v="4856 Advisory costs"/>
        <s v="7212 Consolidator fees costs"/>
        <s v="7223 Incidentals, errors, ADM penalties"/>
        <s v="8011 Turnover Saas montly fees"/>
        <s v="1531 TB VAT High"/>
        <s v="1278 Bookings cost of sale suspense"/>
        <s v="7211 Cost of Goods Turnover (0%)"/>
        <s v="72114 COGS_IATA_EMDA_NL"/>
        <s v="72115 COGS_IATA_EMDS_NL"/>
        <s v="72116 COGS_IATA_RFND_NL"/>
        <s v="72119 COGS_IATA_TKTT_NL"/>
        <s v="8100 Markup Marine"/>
        <s v="8101 Markup Corporate"/>
        <s v="8102 Turnover Tickets Marine"/>
        <s v="8103 Turnover Tickets Corporate"/>
        <s v="8104 Class drops Marine"/>
        <s v="8105 Class drops Corporate"/>
        <s v="8106 FX markup"/>
        <s v="8107 Consolidator markup"/>
        <s v="8110 GDS incentive compensation markup"/>
        <s v="8201 Turnover ancillary services NL Corporate"/>
        <s v="8202 Mark up ancillary services NL Corporate"/>
        <s v="8225 Extra baggage"/>
        <s v="1500 Vat Receivable (low)"/>
        <s v="4054 Nihilwaardering"/>
        <s v="150 Inventory"/>
        <s v="160 Computers"/>
        <s v="4020 Management Fee"/>
        <s v="4097 WBSO deduction"/>
        <s v="4100 Office rent"/>
        <s v="4140 Cleaning Fee"/>
        <s v="4510 Legal costs"/>
        <s v="4805 Printed matter/paper"/>
        <s v="48203 IT Software Licenses"/>
        <s v="4830 Telephone and fax costs"/>
        <s v="4853 Administration costs Acountant"/>
        <s v="4854 Administration costs"/>
        <s v="2990 Items to be discussed Debtors"/>
        <s v="8115 Turnover hotels"/>
        <s v="8205 Commsions ancillary services NL Corporate"/>
        <s v="8206  Commission Hotels (online)"/>
        <s v="8221 Turnover ancillary services outside EU Corporate"/>
        <s v="8222 Mark up ancillary services outside EU Corporate"/>
        <s v="8223 FX markup ancillary services outside EU Corporate"/>
        <s v="8010 Turnover Saas One off fees"/>
        <s v="8021 GDS incentives"/>
        <s v="8211 Turnover ancillary services EU Corporate"/>
        <s v="8212 Mark up ancillary services EU Corporate"/>
        <s v="8213 FX markup ancillary services EU Corporate"/>
        <s v="1520 TB VAT Low"/>
        <s v="8203 FX markup ancillary services NL Corporate"/>
      </sharedItems>
    </cacheField>
    <cacheField name="2025 - 01" numFmtId="0">
      <sharedItems containsString="0" containsBlank="1" containsNumber="1" minValue="-1871982.5099999993" maxValue="717919.84"/>
    </cacheField>
    <cacheField name="2025 - 02" numFmtId="0">
      <sharedItems containsString="0" containsBlank="1" containsNumber="1" minValue="-1895230.8800000001" maxValue="2270873.8899999987"/>
    </cacheField>
    <cacheField name="2025 - 03" numFmtId="0">
      <sharedItems containsString="0" containsBlank="1" containsNumber="1" minValue="-1884670.0799999994" maxValue="2344880.8300000005"/>
    </cacheField>
    <cacheField name="Grand Total" numFmtId="0">
      <sharedItems containsSemiMixedTypes="0" containsString="0" containsNumber="1" minValue="-5651883.4699999988" maxValue="5333674.55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x v="0"/>
    <x v="0"/>
    <x v="0"/>
    <x v="0"/>
    <n v="27056.45"/>
    <n v="30704.689999999991"/>
    <n v="44323.080000000009"/>
    <n v="102084.22"/>
  </r>
  <r>
    <x v="0"/>
    <x v="0"/>
    <x v="0"/>
    <x v="1"/>
    <n v="-27056.45"/>
    <n v="-30704.689999999991"/>
    <n v="-44323.079999999987"/>
    <n v="-102084.21999999997"/>
  </r>
  <r>
    <x v="0"/>
    <x v="0"/>
    <x v="0"/>
    <x v="2"/>
    <m/>
    <m/>
    <n v="24680"/>
    <n v="24680"/>
  </r>
  <r>
    <x v="0"/>
    <x v="1"/>
    <x v="0"/>
    <x v="3"/>
    <m/>
    <m/>
    <n v="145"/>
    <n v="145"/>
  </r>
  <r>
    <x v="0"/>
    <x v="1"/>
    <x v="0"/>
    <x v="4"/>
    <n v="28219.05"/>
    <n v="29787.27"/>
    <n v="28575"/>
    <n v="86581.32"/>
  </r>
  <r>
    <x v="0"/>
    <x v="1"/>
    <x v="0"/>
    <x v="5"/>
    <n v="19952.150000000001"/>
    <n v="19952.150000000001"/>
    <n v="21177.15"/>
    <n v="61081.450000000004"/>
  </r>
  <r>
    <x v="0"/>
    <x v="1"/>
    <x v="0"/>
    <x v="6"/>
    <n v="12200"/>
    <n v="12500"/>
    <n v="12500"/>
    <n v="37200"/>
  </r>
  <r>
    <x v="0"/>
    <x v="1"/>
    <x v="0"/>
    <x v="7"/>
    <n v="18350"/>
    <n v="18700"/>
    <n v="23567"/>
    <n v="60617"/>
  </r>
  <r>
    <x v="0"/>
    <x v="1"/>
    <x v="0"/>
    <x v="8"/>
    <n v="7125"/>
    <n v="7125"/>
    <n v="7125"/>
    <n v="21375"/>
  </r>
  <r>
    <x v="0"/>
    <x v="1"/>
    <x v="0"/>
    <x v="9"/>
    <n v="8640"/>
    <n v="8640"/>
    <n v="19890"/>
    <n v="37170"/>
  </r>
  <r>
    <x v="0"/>
    <x v="1"/>
    <x v="0"/>
    <x v="10"/>
    <n v="1394.54"/>
    <n v="6818.79"/>
    <n v="718.2"/>
    <n v="8931.5300000000007"/>
  </r>
  <r>
    <x v="0"/>
    <x v="1"/>
    <x v="0"/>
    <x v="11"/>
    <n v="1668.4299999999998"/>
    <n v="18539.89"/>
    <n v="21228.189999999995"/>
    <n v="41436.509999999995"/>
  </r>
  <r>
    <x v="0"/>
    <x v="1"/>
    <x v="0"/>
    <x v="12"/>
    <n v="516.70000000000005"/>
    <n v="483.96"/>
    <n v="360"/>
    <n v="1360.66"/>
  </r>
  <r>
    <x v="0"/>
    <x v="1"/>
    <x v="0"/>
    <x v="13"/>
    <n v="1595"/>
    <n v="1565.9"/>
    <n v="1653.9"/>
    <n v="4814.8"/>
  </r>
  <r>
    <x v="0"/>
    <x v="1"/>
    <x v="0"/>
    <x v="14"/>
    <n v="724.48"/>
    <n v="724.48"/>
    <n v="27724.48"/>
    <n v="29173.439999999999"/>
  </r>
  <r>
    <x v="0"/>
    <x v="1"/>
    <x v="0"/>
    <x v="15"/>
    <n v="129.99"/>
    <n v="65"/>
    <n v="14"/>
    <n v="208.99"/>
  </r>
  <r>
    <x v="0"/>
    <x v="1"/>
    <x v="0"/>
    <x v="16"/>
    <n v="4583.92"/>
    <n v="4422.53"/>
    <n v="4273.17"/>
    <n v="13279.62"/>
  </r>
  <r>
    <x v="0"/>
    <x v="1"/>
    <x v="0"/>
    <x v="17"/>
    <n v="2559.13"/>
    <n v="2149.15"/>
    <n v="2308.46"/>
    <n v="7016.7400000000007"/>
  </r>
  <r>
    <x v="0"/>
    <x v="1"/>
    <x v="0"/>
    <x v="18"/>
    <n v="549.88"/>
    <n v="140.49"/>
    <n v="140.49"/>
    <n v="830.86"/>
  </r>
  <r>
    <x v="0"/>
    <x v="1"/>
    <x v="0"/>
    <x v="19"/>
    <n v="7416.83"/>
    <n v="1328.7600000000002"/>
    <n v="1265.9100000000003"/>
    <n v="10011.5"/>
  </r>
  <r>
    <x v="0"/>
    <x v="1"/>
    <x v="0"/>
    <x v="20"/>
    <n v="58.98"/>
    <m/>
    <n v="60.38"/>
    <n v="119.36"/>
  </r>
  <r>
    <x v="0"/>
    <x v="1"/>
    <x v="0"/>
    <x v="21"/>
    <n v="12529.61"/>
    <n v="12637.42"/>
    <n v="13005.69"/>
    <n v="38172.720000000001"/>
  </r>
  <r>
    <x v="0"/>
    <x v="1"/>
    <x v="0"/>
    <x v="22"/>
    <n v="626.48"/>
    <n v="631.87"/>
    <n v="650.28"/>
    <n v="1908.6299999999999"/>
  </r>
  <r>
    <x v="1"/>
    <x v="2"/>
    <x v="1"/>
    <x v="23"/>
    <n v="0"/>
    <n v="0"/>
    <n v="0"/>
    <n v="0"/>
  </r>
  <r>
    <x v="2"/>
    <x v="3"/>
    <x v="1"/>
    <x v="24"/>
    <n v="-1050"/>
    <n v="-1300"/>
    <n v="-800"/>
    <n v="-3150"/>
  </r>
  <r>
    <x v="2"/>
    <x v="3"/>
    <x v="1"/>
    <x v="23"/>
    <n v="-480"/>
    <n v="-4306"/>
    <n v="-4530.8999999999996"/>
    <n v="-9316.9"/>
  </r>
  <r>
    <x v="3"/>
    <x v="0"/>
    <x v="1"/>
    <x v="24"/>
    <n v="-1181.5999999999999"/>
    <n v="-1182.82"/>
    <n v="-888.44999999999993"/>
    <n v="-3252.87"/>
  </r>
  <r>
    <x v="3"/>
    <x v="0"/>
    <x v="1"/>
    <x v="23"/>
    <n v="-2382.73"/>
    <n v="-2016.8"/>
    <n v="-2610.92"/>
    <n v="-7010.45"/>
  </r>
  <r>
    <x v="4"/>
    <x v="0"/>
    <x v="0"/>
    <x v="25"/>
    <n v="12250"/>
    <n v="12500"/>
    <n v="12500"/>
    <n v="37250"/>
  </r>
  <r>
    <x v="4"/>
    <x v="0"/>
    <x v="0"/>
    <x v="0"/>
    <n v="40636.160000000003"/>
    <n v="41949.179999999993"/>
    <n v="37787.130000000012"/>
    <n v="120372.47"/>
  </r>
  <r>
    <x v="4"/>
    <x v="0"/>
    <x v="0"/>
    <x v="26"/>
    <n v="-40636.159999999989"/>
    <n v="-41949.179999999993"/>
    <n v="-37787.129999999997"/>
    <n v="-120372.46999999997"/>
  </r>
  <r>
    <x v="4"/>
    <x v="0"/>
    <x v="0"/>
    <x v="2"/>
    <n v="34254"/>
    <m/>
    <m/>
    <n v="34254"/>
  </r>
  <r>
    <x v="4"/>
    <x v="4"/>
    <x v="0"/>
    <x v="4"/>
    <n v="79195.649999999994"/>
    <n v="82052.45"/>
    <n v="81700"/>
    <n v="242948.09999999998"/>
  </r>
  <r>
    <x v="4"/>
    <x v="4"/>
    <x v="0"/>
    <x v="5"/>
    <n v="14042.6"/>
    <n v="14193.92"/>
    <n v="14103.41"/>
    <n v="42339.93"/>
  </r>
  <r>
    <x v="4"/>
    <x v="4"/>
    <x v="0"/>
    <x v="6"/>
    <n v="3500"/>
    <n v="3200"/>
    <n v="3200"/>
    <n v="9900"/>
  </r>
  <r>
    <x v="4"/>
    <x v="4"/>
    <x v="0"/>
    <x v="7"/>
    <n v="6953.9"/>
    <n v="3475.16"/>
    <n v="8482.4599999999991"/>
    <n v="18911.519999999997"/>
  </r>
  <r>
    <x v="4"/>
    <x v="4"/>
    <x v="0"/>
    <x v="9"/>
    <m/>
    <m/>
    <n v="6305.39"/>
    <n v="6305.39"/>
  </r>
  <r>
    <x v="4"/>
    <x v="4"/>
    <x v="0"/>
    <x v="27"/>
    <n v="4700"/>
    <n v="16773.809999999998"/>
    <n v="12866.07"/>
    <n v="34339.879999999997"/>
  </r>
  <r>
    <x v="4"/>
    <x v="4"/>
    <x v="0"/>
    <x v="10"/>
    <n v="5989.87"/>
    <n v="17810.05"/>
    <n v="13234.150000000001"/>
    <n v="37034.07"/>
  </r>
  <r>
    <x v="4"/>
    <x v="4"/>
    <x v="0"/>
    <x v="11"/>
    <n v="595.31999999999994"/>
    <n v="628.93999999999994"/>
    <n v="696.88000000000011"/>
    <n v="1921.1399999999999"/>
  </r>
  <r>
    <x v="4"/>
    <x v="4"/>
    <x v="0"/>
    <x v="12"/>
    <n v="937.15999999999985"/>
    <n v="933.74"/>
    <n v="1558.47"/>
    <n v="3429.37"/>
  </r>
  <r>
    <x v="4"/>
    <x v="4"/>
    <x v="0"/>
    <x v="28"/>
    <m/>
    <n v="15573.63"/>
    <m/>
    <n v="15573.63"/>
  </r>
  <r>
    <x v="4"/>
    <x v="4"/>
    <x v="0"/>
    <x v="29"/>
    <n v="763.67"/>
    <n v="774.31000000000006"/>
    <n v="1122.22"/>
    <n v="2660.2"/>
  </r>
  <r>
    <x v="4"/>
    <x v="4"/>
    <x v="0"/>
    <x v="15"/>
    <n v="4447.96"/>
    <n v="5015.1000000000004"/>
    <n v="7242.29"/>
    <n v="16705.350000000002"/>
  </r>
  <r>
    <x v="4"/>
    <x v="4"/>
    <x v="0"/>
    <x v="16"/>
    <n v="1653.72"/>
    <n v="986.18999999999994"/>
    <n v="1108.49"/>
    <n v="3748.3999999999996"/>
  </r>
  <r>
    <x v="4"/>
    <x v="4"/>
    <x v="0"/>
    <x v="17"/>
    <n v="126.2"/>
    <n v="851.89"/>
    <m/>
    <n v="978.09"/>
  </r>
  <r>
    <x v="4"/>
    <x v="4"/>
    <x v="0"/>
    <x v="18"/>
    <n v="6938.6599999999989"/>
    <n v="5114.4799999999996"/>
    <n v="5324.24"/>
    <n v="17377.379999999997"/>
  </r>
  <r>
    <x v="4"/>
    <x v="4"/>
    <x v="0"/>
    <x v="19"/>
    <n v="769.79000000000008"/>
    <n v="338.14"/>
    <n v="900.32999999999993"/>
    <n v="2008.26"/>
  </r>
  <r>
    <x v="4"/>
    <x v="4"/>
    <x v="0"/>
    <x v="30"/>
    <m/>
    <m/>
    <n v="3724.43"/>
    <n v="3724.43"/>
  </r>
  <r>
    <x v="4"/>
    <x v="4"/>
    <x v="0"/>
    <x v="20"/>
    <m/>
    <n v="18.5"/>
    <m/>
    <n v="18.5"/>
  </r>
  <r>
    <x v="4"/>
    <x v="4"/>
    <x v="0"/>
    <x v="31"/>
    <n v="5205.0600000000004"/>
    <m/>
    <n v="4887.54"/>
    <n v="10092.6"/>
  </r>
  <r>
    <x v="4"/>
    <x v="4"/>
    <x v="0"/>
    <x v="32"/>
    <n v="11181.449999999999"/>
    <n v="19517.64"/>
    <n v="982.17"/>
    <n v="31681.259999999995"/>
  </r>
  <r>
    <x v="4"/>
    <x v="4"/>
    <x v="0"/>
    <x v="33"/>
    <n v="-14.77"/>
    <n v="0"/>
    <n v="0"/>
    <n v="-14.77"/>
  </r>
  <r>
    <x v="5"/>
    <x v="0"/>
    <x v="0"/>
    <x v="34"/>
    <n v="-387.05"/>
    <n v="-610.69000000000005"/>
    <n v="-389.06"/>
    <n v="-1386.8"/>
  </r>
  <r>
    <x v="5"/>
    <x v="2"/>
    <x v="1"/>
    <x v="33"/>
    <n v="-1843.1"/>
    <n v="-2908.04"/>
    <n v="-1852.66"/>
    <n v="-6603.7999999999993"/>
  </r>
  <r>
    <x v="6"/>
    <x v="0"/>
    <x v="2"/>
    <x v="35"/>
    <n v="23258.959999999999"/>
    <n v="148982.6"/>
    <n v="142124.84"/>
    <n v="314366.40000000002"/>
  </r>
  <r>
    <x v="6"/>
    <x v="0"/>
    <x v="2"/>
    <x v="2"/>
    <n v="-8430"/>
    <n v="-8730"/>
    <n v="-7920"/>
    <n v="-25080"/>
  </r>
  <r>
    <x v="6"/>
    <x v="0"/>
    <x v="2"/>
    <x v="36"/>
    <n v="717919.84"/>
    <n v="2270873.8899999987"/>
    <n v="2344880.8300000005"/>
    <n v="5333674.5599999987"/>
  </r>
  <r>
    <x v="6"/>
    <x v="0"/>
    <x v="2"/>
    <x v="37"/>
    <n v="561.65"/>
    <n v="329.12"/>
    <n v="197.26"/>
    <n v="1088.03"/>
  </r>
  <r>
    <x v="6"/>
    <x v="0"/>
    <x v="2"/>
    <x v="38"/>
    <n v="260"/>
    <m/>
    <n v="172"/>
    <n v="432"/>
  </r>
  <r>
    <x v="6"/>
    <x v="0"/>
    <x v="2"/>
    <x v="39"/>
    <n v="-154248.12000000002"/>
    <n v="-156085.96000000005"/>
    <n v="-184965.71000000002"/>
    <n v="-495299.7900000001"/>
  </r>
  <r>
    <x v="6"/>
    <x v="0"/>
    <x v="2"/>
    <x v="40"/>
    <n v="560989.37"/>
    <n v="485411.63"/>
    <n v="549279.56000000006"/>
    <n v="1595680.56"/>
  </r>
  <r>
    <x v="6"/>
    <x v="5"/>
    <x v="1"/>
    <x v="31"/>
    <n v="2051.65"/>
    <n v="4593.4500000000016"/>
    <n v="5451.1499999999978"/>
    <n v="12096.25"/>
  </r>
  <r>
    <x v="6"/>
    <x v="0"/>
    <x v="2"/>
    <x v="32"/>
    <m/>
    <n v="502.37"/>
    <m/>
    <n v="502.37"/>
  </r>
  <r>
    <x v="6"/>
    <x v="5"/>
    <x v="1"/>
    <x v="41"/>
    <n v="-58590.21"/>
    <n v="-56627.26"/>
    <n v="-60233.870000000017"/>
    <n v="-175451.34000000003"/>
  </r>
  <r>
    <x v="6"/>
    <x v="5"/>
    <x v="1"/>
    <x v="42"/>
    <n v="-6855.55"/>
    <n v="-5826.62"/>
    <n v="-9761.0199999999986"/>
    <n v="-22443.19"/>
  </r>
  <r>
    <x v="6"/>
    <x v="0"/>
    <x v="2"/>
    <x v="43"/>
    <n v="-1335612.3200000008"/>
    <n v="-1266519.689999999"/>
    <n v="-1317737.1599999999"/>
    <n v="-3919869.17"/>
  </r>
  <r>
    <x v="6"/>
    <x v="0"/>
    <x v="2"/>
    <x v="44"/>
    <n v="-174495.14999999994"/>
    <n v="-129971.34000000005"/>
    <n v="-213444.55999999994"/>
    <n v="-517911.04999999993"/>
  </r>
  <r>
    <x v="6"/>
    <x v="5"/>
    <x v="1"/>
    <x v="45"/>
    <n v="-22505.979999999989"/>
    <n v="-23493.230000000029"/>
    <n v="-26010.540000000015"/>
    <n v="-72009.750000000029"/>
  </r>
  <r>
    <x v="6"/>
    <x v="5"/>
    <x v="1"/>
    <x v="46"/>
    <n v="-472.43000000000029"/>
    <n v="-1228.2200000000005"/>
    <n v="303.33000000000027"/>
    <n v="-1397.3200000000006"/>
  </r>
  <r>
    <x v="6"/>
    <x v="5"/>
    <x v="1"/>
    <x v="47"/>
    <n v="-1423.85"/>
    <n v="-834.92000000000019"/>
    <n v="-1051.6200000000001"/>
    <n v="-3310.3900000000003"/>
  </r>
  <r>
    <x v="6"/>
    <x v="5"/>
    <x v="1"/>
    <x v="48"/>
    <n v="-1603.1199999999981"/>
    <n v="-1502.5999999999974"/>
    <n v="-1688.6699999999962"/>
    <n v="-4794.3899999999921"/>
  </r>
  <r>
    <x v="6"/>
    <x v="5"/>
    <x v="1"/>
    <x v="49"/>
    <n v="-2890.8400000000006"/>
    <n v="-2897.7100000000005"/>
    <n v="-2988.139999999999"/>
    <n v="-8776.69"/>
  </r>
  <r>
    <x v="6"/>
    <x v="0"/>
    <x v="2"/>
    <x v="50"/>
    <n v="-8513.4499999999989"/>
    <n v="-7115.42"/>
    <n v="-5599.6499999999987"/>
    <n v="-21228.519999999997"/>
  </r>
  <r>
    <x v="6"/>
    <x v="5"/>
    <x v="1"/>
    <x v="51"/>
    <n v="-687.06"/>
    <n v="-549.99"/>
    <n v="-466.13000000000005"/>
    <n v="-1703.18"/>
  </r>
  <r>
    <x v="6"/>
    <x v="5"/>
    <x v="1"/>
    <x v="52"/>
    <n v="-119.99"/>
    <n v="-204.99"/>
    <n v="-225"/>
    <n v="-549.98"/>
  </r>
  <r>
    <x v="7"/>
    <x v="0"/>
    <x v="0"/>
    <x v="53"/>
    <n v="13.84"/>
    <n v="36.75"/>
    <n v="31.810000000000002"/>
    <n v="82.4"/>
  </r>
  <r>
    <x v="7"/>
    <x v="6"/>
    <x v="0"/>
    <x v="54"/>
    <m/>
    <m/>
    <n v="133.05000000000001"/>
    <n v="133.05000000000001"/>
  </r>
  <r>
    <x v="7"/>
    <x v="6"/>
    <x v="0"/>
    <x v="3"/>
    <m/>
    <n v="108"/>
    <m/>
    <n v="108"/>
  </r>
  <r>
    <x v="7"/>
    <x v="6"/>
    <x v="0"/>
    <x v="20"/>
    <n v="153.79"/>
    <n v="300.39"/>
    <n v="220.4"/>
    <n v="674.57999999999993"/>
  </r>
  <r>
    <x v="8"/>
    <x v="6"/>
    <x v="0"/>
    <x v="55"/>
    <m/>
    <n v="3543.69"/>
    <n v="4621.4799999999996"/>
    <n v="8165.17"/>
  </r>
  <r>
    <x v="8"/>
    <x v="0"/>
    <x v="0"/>
    <x v="0"/>
    <n v="8866.8499999999985"/>
    <n v="13886.400000000001"/>
    <n v="23025.620000000003"/>
    <n v="45778.87"/>
  </r>
  <r>
    <x v="8"/>
    <x v="6"/>
    <x v="0"/>
    <x v="56"/>
    <n v="908.26"/>
    <n v="2751.02"/>
    <n v="1619.01"/>
    <n v="5278.29"/>
  </r>
  <r>
    <x v="8"/>
    <x v="6"/>
    <x v="0"/>
    <x v="57"/>
    <n v="10922"/>
    <n v="10922"/>
    <n v="10922"/>
    <n v="32766"/>
  </r>
  <r>
    <x v="8"/>
    <x v="6"/>
    <x v="0"/>
    <x v="54"/>
    <m/>
    <m/>
    <n v="7.5"/>
    <n v="7.5"/>
  </r>
  <r>
    <x v="8"/>
    <x v="6"/>
    <x v="0"/>
    <x v="3"/>
    <n v="77.92"/>
    <m/>
    <n v="223.14"/>
    <n v="301.06"/>
  </r>
  <r>
    <x v="8"/>
    <x v="6"/>
    <x v="0"/>
    <x v="6"/>
    <m/>
    <m/>
    <n v="2400"/>
    <n v="2400"/>
  </r>
  <r>
    <x v="8"/>
    <x v="6"/>
    <x v="0"/>
    <x v="58"/>
    <m/>
    <n v="6348.8"/>
    <m/>
    <n v="6348.8"/>
  </r>
  <r>
    <x v="8"/>
    <x v="6"/>
    <x v="0"/>
    <x v="59"/>
    <n v="10741.23"/>
    <n v="10741.23"/>
    <n v="10741.23"/>
    <n v="32223.69"/>
  </r>
  <r>
    <x v="8"/>
    <x v="6"/>
    <x v="0"/>
    <x v="60"/>
    <n v="348.48"/>
    <n v="348.48"/>
    <n v="348.48"/>
    <n v="1045.44"/>
  </r>
  <r>
    <x v="8"/>
    <x v="6"/>
    <x v="0"/>
    <x v="10"/>
    <n v="1379.79"/>
    <n v="103.31"/>
    <n v="13645.010000000002"/>
    <n v="15128.110000000002"/>
  </r>
  <r>
    <x v="8"/>
    <x v="6"/>
    <x v="0"/>
    <x v="61"/>
    <n v="10000"/>
    <n v="17959.66"/>
    <n v="55062.42"/>
    <n v="83022.080000000002"/>
  </r>
  <r>
    <x v="8"/>
    <x v="6"/>
    <x v="0"/>
    <x v="62"/>
    <n v="350.53000000000003"/>
    <n v="601.34999999999991"/>
    <n v="87.76"/>
    <n v="1039.6399999999999"/>
  </r>
  <r>
    <x v="8"/>
    <x v="6"/>
    <x v="0"/>
    <x v="12"/>
    <n v="72.16"/>
    <n v="237.04"/>
    <n v="423.6"/>
    <n v="732.8"/>
  </r>
  <r>
    <x v="8"/>
    <x v="6"/>
    <x v="0"/>
    <x v="63"/>
    <n v="411.11"/>
    <m/>
    <n v="3996.16"/>
    <n v="4407.2699999999995"/>
  </r>
  <r>
    <x v="8"/>
    <x v="6"/>
    <x v="0"/>
    <x v="28"/>
    <n v="1055"/>
    <n v="1055"/>
    <n v="1055"/>
    <n v="3165"/>
  </r>
  <r>
    <x v="8"/>
    <x v="6"/>
    <x v="0"/>
    <x v="29"/>
    <m/>
    <n v="2800"/>
    <m/>
    <n v="2800"/>
  </r>
  <r>
    <x v="8"/>
    <x v="6"/>
    <x v="0"/>
    <x v="14"/>
    <n v="334.5"/>
    <n v="334.5"/>
    <n v="468.29999999999995"/>
    <n v="1137.3"/>
  </r>
  <r>
    <x v="8"/>
    <x v="6"/>
    <x v="0"/>
    <x v="19"/>
    <m/>
    <n v="153.74"/>
    <n v="156.21"/>
    <n v="309.95000000000005"/>
  </r>
  <r>
    <x v="8"/>
    <x v="6"/>
    <x v="0"/>
    <x v="64"/>
    <n v="59.2"/>
    <n v="59.2"/>
    <n v="59.2"/>
    <n v="177.60000000000002"/>
  </r>
  <r>
    <x v="8"/>
    <x v="6"/>
    <x v="0"/>
    <x v="65"/>
    <n v="479.64"/>
    <n v="448.64"/>
    <n v="388.51"/>
    <n v="1316.79"/>
  </r>
  <r>
    <x v="8"/>
    <x v="6"/>
    <x v="0"/>
    <x v="66"/>
    <m/>
    <n v="125"/>
    <m/>
    <n v="125"/>
  </r>
  <r>
    <x v="8"/>
    <x v="6"/>
    <x v="0"/>
    <x v="30"/>
    <n v="4965.3"/>
    <n v="6500"/>
    <n v="2550"/>
    <n v="14015.3"/>
  </r>
  <r>
    <x v="8"/>
    <x v="6"/>
    <x v="0"/>
    <x v="20"/>
    <n v="117.96000000000001"/>
    <n v="1093.0500000000002"/>
    <n v="870.78"/>
    <n v="2081.79"/>
  </r>
  <r>
    <x v="9"/>
    <x v="0"/>
    <x v="2"/>
    <x v="2"/>
    <n v="-10689.34"/>
    <n v="-9307.8799999999937"/>
    <n v="-7557.9500000000007"/>
    <n v="-27555.169999999995"/>
  </r>
  <r>
    <x v="9"/>
    <x v="0"/>
    <x v="2"/>
    <x v="67"/>
    <m/>
    <m/>
    <n v="6564.39"/>
    <n v="6564.39"/>
  </r>
  <r>
    <x v="9"/>
    <x v="0"/>
    <x v="1"/>
    <x v="33"/>
    <n v="-89357.79"/>
    <n v="-97815.09"/>
    <n v="-85530.15"/>
    <n v="-272703.03000000003"/>
  </r>
  <r>
    <x v="9"/>
    <x v="0"/>
    <x v="1"/>
    <x v="41"/>
    <n v="-79352.610000000117"/>
    <n v="-79675.720000000016"/>
    <n v="-75559.040000000037"/>
    <n v="-234587.37000000017"/>
  </r>
  <r>
    <x v="9"/>
    <x v="0"/>
    <x v="1"/>
    <x v="42"/>
    <n v="-33225.660000000025"/>
    <n v="-29413.28000000001"/>
    <n v="-34419.15"/>
    <n v="-97058.090000000026"/>
  </r>
  <r>
    <x v="9"/>
    <x v="0"/>
    <x v="2"/>
    <x v="43"/>
    <n v="-1623765.9699999967"/>
    <n v="-1533394.7700000012"/>
    <n v="-1475387.1"/>
    <n v="-4632547.839999998"/>
  </r>
  <r>
    <x v="9"/>
    <x v="0"/>
    <x v="2"/>
    <x v="44"/>
    <n v="-799459.70999999961"/>
    <n v="-819311.32000000065"/>
    <n v="-852047.99999999884"/>
    <n v="-2470819.0299999993"/>
  </r>
  <r>
    <x v="9"/>
    <x v="0"/>
    <x v="1"/>
    <x v="45"/>
    <n v="-14450.080000000018"/>
    <n v="-22638.529999999995"/>
    <n v="-21819.039999999994"/>
    <n v="-58907.650000000009"/>
  </r>
  <r>
    <x v="9"/>
    <x v="0"/>
    <x v="1"/>
    <x v="46"/>
    <n v="-8033.6099999999969"/>
    <n v="-4387.13"/>
    <n v="-5686.5900000000047"/>
    <n v="-18107.330000000002"/>
  </r>
  <r>
    <x v="9"/>
    <x v="0"/>
    <x v="1"/>
    <x v="47"/>
    <n v="-8961.2899999999845"/>
    <n v="-7959.8000000000084"/>
    <n v="-8112.1900000000096"/>
    <n v="-25033.280000000002"/>
  </r>
  <r>
    <x v="9"/>
    <x v="0"/>
    <x v="1"/>
    <x v="48"/>
    <n v="-2666.8699999999922"/>
    <n v="-2931.439999999996"/>
    <n v="-3023.1499999999924"/>
    <n v="-8621.4599999999809"/>
  </r>
  <r>
    <x v="9"/>
    <x v="0"/>
    <x v="1"/>
    <x v="49"/>
    <n v="-3749.9000000000024"/>
    <n v="-4420.7299999999996"/>
    <n v="-4543.3500000000131"/>
    <n v="-12713.980000000014"/>
  </r>
  <r>
    <x v="9"/>
    <x v="0"/>
    <x v="2"/>
    <x v="68"/>
    <n v="-100095.82"/>
    <n v="-107491.35000000002"/>
    <n v="-124416.05999999998"/>
    <n v="-332003.23000000004"/>
  </r>
  <r>
    <x v="9"/>
    <x v="0"/>
    <x v="1"/>
    <x v="69"/>
    <n v="-188.26"/>
    <n v="-160.69999999999999"/>
    <n v="-114.52"/>
    <n v="-463.47999999999996"/>
  </r>
  <r>
    <x v="9"/>
    <x v="0"/>
    <x v="1"/>
    <x v="70"/>
    <n v="-12389.819999999996"/>
    <n v="-13256.549999999997"/>
    <n v="-15548.630000000003"/>
    <n v="-41195"/>
  </r>
  <r>
    <x v="9"/>
    <x v="0"/>
    <x v="2"/>
    <x v="71"/>
    <n v="-10582.2"/>
    <n v="-10658.250000000002"/>
    <n v="-7898.91"/>
    <n v="-29139.360000000004"/>
  </r>
  <r>
    <x v="9"/>
    <x v="0"/>
    <x v="1"/>
    <x v="72"/>
    <n v="-1104.8800000000003"/>
    <n v="-892.65"/>
    <n v="-787.81999999999994"/>
    <n v="-2785.3500000000004"/>
  </r>
  <r>
    <x v="9"/>
    <x v="0"/>
    <x v="1"/>
    <x v="73"/>
    <n v="-550.61"/>
    <n v="-645.88"/>
    <n v="-766.33000000000038"/>
    <n v="-1962.8200000000004"/>
  </r>
  <r>
    <x v="9"/>
    <x v="0"/>
    <x v="1"/>
    <x v="52"/>
    <n v="-316.68"/>
    <n v="-755.65"/>
    <n v="-511.45999999999992"/>
    <n v="-1583.79"/>
  </r>
  <r>
    <x v="10"/>
    <x v="0"/>
    <x v="2"/>
    <x v="2"/>
    <n v="-16182.86"/>
    <n v="-18174.740000000002"/>
    <n v="-18123.600000000002"/>
    <n v="-52481.200000000012"/>
  </r>
  <r>
    <x v="10"/>
    <x v="0"/>
    <x v="2"/>
    <x v="36"/>
    <m/>
    <m/>
    <n v="439"/>
    <n v="439"/>
  </r>
  <r>
    <x v="10"/>
    <x v="3"/>
    <x v="1"/>
    <x v="74"/>
    <m/>
    <n v="-52838.55"/>
    <m/>
    <n v="-52838.55"/>
  </r>
  <r>
    <x v="10"/>
    <x v="3"/>
    <x v="1"/>
    <x v="33"/>
    <n v="-12500"/>
    <n v="-12500"/>
    <n v="-12500"/>
    <n v="-37500"/>
  </r>
  <r>
    <x v="10"/>
    <x v="3"/>
    <x v="1"/>
    <x v="75"/>
    <n v="-49594.8"/>
    <n v="-51169.65"/>
    <n v="-59666.3"/>
    <n v="-160430.75"/>
  </r>
  <r>
    <x v="10"/>
    <x v="3"/>
    <x v="1"/>
    <x v="41"/>
    <n v="-102452.19999999997"/>
    <n v="-103910.98999999993"/>
    <n v="-108440.53999999998"/>
    <n v="-314803.72999999986"/>
  </r>
  <r>
    <x v="10"/>
    <x v="3"/>
    <x v="1"/>
    <x v="42"/>
    <n v="-21140.759999999995"/>
    <n v="-18132.490000000002"/>
    <n v="-22710.629999999997"/>
    <n v="-61983.88"/>
  </r>
  <r>
    <x v="10"/>
    <x v="0"/>
    <x v="2"/>
    <x v="43"/>
    <n v="-1871982.5099999993"/>
    <n v="-1895230.8800000001"/>
    <n v="-1884670.0799999994"/>
    <n v="-5651883.4699999988"/>
  </r>
  <r>
    <x v="10"/>
    <x v="0"/>
    <x v="2"/>
    <x v="44"/>
    <n v="-442212.11999999982"/>
    <n v="-381213.21000000008"/>
    <n v="-478010.92000000016"/>
    <n v="-1301436.25"/>
  </r>
  <r>
    <x v="10"/>
    <x v="3"/>
    <x v="1"/>
    <x v="45"/>
    <n v="-29268.360000000004"/>
    <n v="-28853.079999999991"/>
    <n v="-33076.719999999994"/>
    <n v="-91198.159999999989"/>
  </r>
  <r>
    <x v="10"/>
    <x v="3"/>
    <x v="1"/>
    <x v="46"/>
    <n v="-1115.9500000000003"/>
    <n v="-1999.6500000000008"/>
    <n v="-2013.1799999999996"/>
    <n v="-5128.7800000000007"/>
  </r>
  <r>
    <x v="10"/>
    <x v="3"/>
    <x v="1"/>
    <x v="47"/>
    <n v="-2129.6500000000005"/>
    <n v="-2021.9399999999989"/>
    <n v="-2368.7799999999997"/>
    <n v="-6520.369999999999"/>
  </r>
  <r>
    <x v="10"/>
    <x v="3"/>
    <x v="1"/>
    <x v="48"/>
    <n v="-2924.7800000000034"/>
    <n v="-2886.5800000000022"/>
    <n v="-3229.2800000000016"/>
    <n v="-9040.6400000000067"/>
  </r>
  <r>
    <x v="10"/>
    <x v="3"/>
    <x v="1"/>
    <x v="49"/>
    <n v="-5918.0100000000039"/>
    <n v="-6137.3100000000095"/>
    <n v="-6521.29000000001"/>
    <n v="-18576.610000000022"/>
  </r>
  <r>
    <x v="10"/>
    <x v="0"/>
    <x v="2"/>
    <x v="68"/>
    <n v="-81217.740000000005"/>
    <n v="-108652.56999999999"/>
    <n v="-117485.97"/>
    <n v="-307356.28000000003"/>
  </r>
  <r>
    <x v="10"/>
    <x v="3"/>
    <x v="1"/>
    <x v="69"/>
    <n v="-35.42"/>
    <n v="-96.63"/>
    <n v="-100.1"/>
    <n v="-232.15"/>
  </r>
  <r>
    <x v="10"/>
    <x v="3"/>
    <x v="1"/>
    <x v="70"/>
    <n v="-10198.090000000002"/>
    <n v="-13690.68"/>
    <n v="-14779.37"/>
    <n v="-38668.140000000007"/>
  </r>
  <r>
    <x v="10"/>
    <x v="0"/>
    <x v="2"/>
    <x v="76"/>
    <n v="-11326.92"/>
    <n v="-4278.0999999999976"/>
    <n v="-25726.450000000008"/>
    <n v="-41331.47"/>
  </r>
  <r>
    <x v="10"/>
    <x v="3"/>
    <x v="1"/>
    <x v="77"/>
    <n v="-1369.1999999999998"/>
    <n v="-1360.8400000000001"/>
    <n v="-2052.9500000000012"/>
    <n v="-4782.9900000000016"/>
  </r>
  <r>
    <x v="10"/>
    <x v="3"/>
    <x v="1"/>
    <x v="78"/>
    <n v="-21.67"/>
    <n v="-5.22"/>
    <n v="-13.919999999999998"/>
    <n v="-40.81"/>
  </r>
  <r>
    <x v="10"/>
    <x v="3"/>
    <x v="1"/>
    <x v="52"/>
    <n v="-188.46"/>
    <n v="-292.27999999999997"/>
    <n v="-827.7"/>
    <n v="-1308.44"/>
  </r>
  <r>
    <x v="11"/>
    <x v="0"/>
    <x v="0"/>
    <x v="79"/>
    <n v="-2714.26"/>
    <n v="-3012.260000000002"/>
    <n v="-2923.8299999999995"/>
    <n v="-8650.3500000000022"/>
  </r>
  <r>
    <x v="11"/>
    <x v="0"/>
    <x v="2"/>
    <x v="68"/>
    <n v="-27101"/>
    <n v="-29621"/>
    <n v="-28666"/>
    <n v="-85388"/>
  </r>
  <r>
    <x v="11"/>
    <x v="0"/>
    <x v="2"/>
    <x v="50"/>
    <n v="251.28999999999996"/>
    <n v="-105"/>
    <n v="-246.9"/>
    <n v="-100.61000000000004"/>
  </r>
  <r>
    <x v="11"/>
    <x v="2"/>
    <x v="1"/>
    <x v="51"/>
    <n v="29.49"/>
    <n v="-11.55"/>
    <m/>
    <n v="17.939999999999998"/>
  </r>
  <r>
    <x v="11"/>
    <x v="2"/>
    <x v="1"/>
    <x v="80"/>
    <n v="1.69"/>
    <m/>
    <m/>
    <n v="1.69"/>
  </r>
  <r>
    <x v="11"/>
    <x v="2"/>
    <x v="1"/>
    <x v="69"/>
    <n v="-1.87"/>
    <m/>
    <n v="-15.1"/>
    <n v="-16.97"/>
  </r>
  <r>
    <x v="11"/>
    <x v="2"/>
    <x v="1"/>
    <x v="70"/>
    <n v="-3338"/>
    <n v="-3732"/>
    <n v="-3559"/>
    <n v="-106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19C12-5207-3846-9800-843155B070C0}" name="PivotTable1" cacheId="15" applyNumberFormats="0" applyBorderFormats="0" applyFontFormats="0" applyPatternFormats="0" applyAlignmentFormats="0" applyWidthHeightFormats="0" dataCaption="" updatedVersion="8" rowGrandTotals="0" colGrandTotals="0" compact="0" compactData="0" chartFormat="1">
  <location ref="A3:D138" firstHeaderRow="1" firstDataRow="1" firstDataCol="3"/>
  <pivotFields count="8">
    <pivotField name="VATCodeDescriptionCode" compact="0" outline="0" multipleItemSelectionAllowed="1" showAll="0" sortType="ascending" defaultSubtotal="0">
      <items count="12">
        <item sd="0" x="0"/>
        <item x="1"/>
        <item sd="0" x="2"/>
        <item sd="0" x="3"/>
        <item sd="0" x="4"/>
        <item x="5"/>
        <item x="6"/>
        <item sd="0" x="7"/>
        <item x="8"/>
        <item sd="0" x="9"/>
        <item sd="0" x="10"/>
        <item x="11"/>
      </items>
    </pivotField>
    <pivotField name="Box" axis="axisRow" compact="0" outline="0" multipleItemSelectionAllowed="1" showAll="0" sortType="ascending" defaultSubtotal="0">
      <items count="7">
        <item x="2"/>
        <item x="5"/>
        <item x="3"/>
        <item x="4"/>
        <item x="1"/>
        <item x="6"/>
        <item x="0"/>
      </items>
    </pivotField>
    <pivotField name="Margin" axis="axisRow" compact="0" outline="0" multipleItemSelectionAllowed="1" showAll="0" sortType="ascending" defaultSubtotal="0">
      <items count="3">
        <item x="1"/>
        <item x="2"/>
        <item x="0"/>
      </items>
    </pivotField>
    <pivotField name="GLAccountCodeDescriptionCode" axis="axisRow" compact="0" outline="0" multipleItemSelectionAllowed="1" showAll="0" defaultSubtotal="0">
      <items count="81">
        <item x="25"/>
        <item x="35"/>
        <item x="55"/>
        <item x="53"/>
        <item x="0"/>
        <item x="1"/>
        <item x="26"/>
        <item x="79"/>
        <item x="34"/>
        <item x="56"/>
        <item x="2"/>
        <item x="67"/>
        <item x="57"/>
        <item x="54"/>
        <item x="3"/>
        <item x="4"/>
        <item x="5"/>
        <item x="6"/>
        <item x="7"/>
        <item x="8"/>
        <item x="9"/>
        <item x="58"/>
        <item x="59"/>
        <item x="60"/>
        <item x="27"/>
        <item x="10"/>
        <item x="61"/>
        <item x="62"/>
        <item x="11"/>
        <item x="12"/>
        <item x="63"/>
        <item x="28"/>
        <item x="29"/>
        <item x="13"/>
        <item x="14"/>
        <item x="15"/>
        <item x="16"/>
        <item x="17"/>
        <item x="18"/>
        <item x="19"/>
        <item x="64"/>
        <item x="65"/>
        <item x="66"/>
        <item x="30"/>
        <item x="20"/>
        <item x="36"/>
        <item x="37"/>
        <item x="38"/>
        <item x="39"/>
        <item x="40"/>
        <item x="31"/>
        <item x="21"/>
        <item x="22"/>
        <item x="32"/>
        <item x="74"/>
        <item x="33"/>
        <item x="75"/>
        <item x="24"/>
        <item x="23"/>
        <item x="41"/>
        <item x="42"/>
        <item x="43"/>
        <item x="44"/>
        <item x="45"/>
        <item x="46"/>
        <item x="47"/>
        <item x="48"/>
        <item x="49"/>
        <item x="68"/>
        <item x="50"/>
        <item x="51"/>
        <item x="80"/>
        <item x="69"/>
        <item x="70"/>
        <item x="76"/>
        <item x="77"/>
        <item x="78"/>
        <item x="71"/>
        <item x="72"/>
        <item x="73"/>
        <item x="52"/>
      </items>
    </pivotField>
    <pivotField name="2025 - 01" compact="0" outline="0" multipleItemSelectionAllowed="1" showAll="0" defaultSubtotal="0"/>
    <pivotField name="2025 - 02" compact="0" outline="0" multipleItemSelectionAllowed="1" showAll="0" defaultSubtotal="0"/>
    <pivotField name="2025 - 03" compact="0" outline="0" multipleItemSelectionAllowed="1" showAll="0" defaultSubtotal="0"/>
    <pivotField name="Grand Total" dataField="1" compact="0" outline="0" multipleItemSelectionAllowed="1" showAll="0" defaultSubtotal="0"/>
  </pivotFields>
  <rowFields count="3">
    <field x="1"/>
    <field x="2"/>
    <field x="3"/>
  </rowFields>
  <rowItems count="135">
    <i>
      <x/>
      <x/>
      <x v="55"/>
    </i>
    <i r="2">
      <x v="58"/>
    </i>
    <i r="2">
      <x v="70"/>
    </i>
    <i r="2">
      <x v="71"/>
    </i>
    <i r="2">
      <x v="72"/>
    </i>
    <i r="2">
      <x v="73"/>
    </i>
    <i>
      <x v="1"/>
      <x/>
      <x v="50"/>
    </i>
    <i r="2">
      <x v="59"/>
    </i>
    <i r="2">
      <x v="60"/>
    </i>
    <i r="2">
      <x v="63"/>
    </i>
    <i r="2">
      <x v="64"/>
    </i>
    <i r="2">
      <x v="65"/>
    </i>
    <i r="2">
      <x v="66"/>
    </i>
    <i r="2">
      <x v="67"/>
    </i>
    <i r="2">
      <x v="70"/>
    </i>
    <i r="2">
      <x v="80"/>
    </i>
    <i>
      <x v="2"/>
      <x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3"/>
    </i>
    <i r="2">
      <x v="64"/>
    </i>
    <i r="2">
      <x v="65"/>
    </i>
    <i r="2">
      <x v="66"/>
    </i>
    <i r="2">
      <x v="67"/>
    </i>
    <i r="2">
      <x v="72"/>
    </i>
    <i r="2">
      <x v="73"/>
    </i>
    <i r="2">
      <x v="75"/>
    </i>
    <i r="2">
      <x v="76"/>
    </i>
    <i r="2">
      <x v="80"/>
    </i>
    <i>
      <x v="3"/>
      <x v="2"/>
      <x v="15"/>
    </i>
    <i r="2">
      <x v="16"/>
    </i>
    <i r="2">
      <x v="17"/>
    </i>
    <i r="2">
      <x v="18"/>
    </i>
    <i r="2">
      <x v="20"/>
    </i>
    <i r="2">
      <x v="24"/>
    </i>
    <i r="2">
      <x v="25"/>
    </i>
    <i r="2">
      <x v="28"/>
    </i>
    <i r="2">
      <x v="29"/>
    </i>
    <i r="2">
      <x v="31"/>
    </i>
    <i r="2">
      <x v="32"/>
    </i>
    <i r="2">
      <x v="35"/>
    </i>
    <i r="2">
      <x v="36"/>
    </i>
    <i r="2">
      <x v="37"/>
    </i>
    <i r="2">
      <x v="38"/>
    </i>
    <i r="2">
      <x v="39"/>
    </i>
    <i r="2">
      <x v="43"/>
    </i>
    <i r="2">
      <x v="44"/>
    </i>
    <i r="2">
      <x v="50"/>
    </i>
    <i r="2">
      <x v="53"/>
    </i>
    <i r="2">
      <x v="55"/>
    </i>
    <i>
      <x v="4"/>
      <x v="2"/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5"/>
    </i>
    <i r="2">
      <x v="28"/>
    </i>
    <i r="2">
      <x v="29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4"/>
    </i>
    <i r="2">
      <x v="51"/>
    </i>
    <i r="2">
      <x v="52"/>
    </i>
    <i>
      <x v="5"/>
      <x v="2"/>
      <x v="2"/>
    </i>
    <i r="2">
      <x v="9"/>
    </i>
    <i r="2">
      <x v="12"/>
    </i>
    <i r="2">
      <x v="13"/>
    </i>
    <i r="2">
      <x v="14"/>
    </i>
    <i r="2">
      <x v="17"/>
    </i>
    <i r="2">
      <x v="21"/>
    </i>
    <i r="2">
      <x v="22"/>
    </i>
    <i r="2">
      <x v="23"/>
    </i>
    <i r="2">
      <x v="25"/>
    </i>
    <i r="2">
      <x v="26"/>
    </i>
    <i r="2">
      <x v="27"/>
    </i>
    <i r="2">
      <x v="29"/>
    </i>
    <i r="2">
      <x v="30"/>
    </i>
    <i r="2">
      <x v="31"/>
    </i>
    <i r="2">
      <x v="32"/>
    </i>
    <i r="2">
      <x v="34"/>
    </i>
    <i r="2">
      <x v="39"/>
    </i>
    <i r="2">
      <x v="40"/>
    </i>
    <i r="2">
      <x v="41"/>
    </i>
    <i r="2">
      <x v="42"/>
    </i>
    <i r="2">
      <x v="43"/>
    </i>
    <i r="2">
      <x v="44"/>
    </i>
    <i>
      <x v="6"/>
      <x/>
      <x v="55"/>
    </i>
    <i r="2">
      <x v="57"/>
    </i>
    <i r="2">
      <x v="58"/>
    </i>
    <i r="2">
      <x v="59"/>
    </i>
    <i r="2">
      <x v="60"/>
    </i>
    <i r="2">
      <x v="63"/>
    </i>
    <i r="2">
      <x v="64"/>
    </i>
    <i r="2">
      <x v="65"/>
    </i>
    <i r="2">
      <x v="66"/>
    </i>
    <i r="2">
      <x v="67"/>
    </i>
    <i r="2">
      <x v="72"/>
    </i>
    <i r="2">
      <x v="73"/>
    </i>
    <i r="2">
      <x v="78"/>
    </i>
    <i r="2">
      <x v="79"/>
    </i>
    <i r="2">
      <x v="80"/>
    </i>
    <i r="1">
      <x v="1"/>
      <x v="1"/>
    </i>
    <i r="2">
      <x v="10"/>
    </i>
    <i r="2">
      <x v="11"/>
    </i>
    <i r="2">
      <x v="45"/>
    </i>
    <i r="2">
      <x v="46"/>
    </i>
    <i r="2">
      <x v="47"/>
    </i>
    <i r="2">
      <x v="48"/>
    </i>
    <i r="2">
      <x v="49"/>
    </i>
    <i r="2">
      <x v="53"/>
    </i>
    <i r="2">
      <x v="61"/>
    </i>
    <i r="2">
      <x v="62"/>
    </i>
    <i r="2">
      <x v="68"/>
    </i>
    <i r="2">
      <x v="69"/>
    </i>
    <i r="2">
      <x v="74"/>
    </i>
    <i r="2">
      <x v="77"/>
    </i>
    <i r="1">
      <x v="2"/>
      <x/>
    </i>
    <i r="2">
      <x v="3"/>
    </i>
    <i r="2">
      <x v="4"/>
    </i>
    <i r="2">
      <x v="5"/>
    </i>
    <i r="2">
      <x v="6"/>
    </i>
    <i r="2">
      <x v="7"/>
    </i>
    <i r="2">
      <x v="8"/>
    </i>
    <i r="2">
      <x v="10"/>
    </i>
  </rowItems>
  <colItems count="1">
    <i/>
  </colItems>
  <dataFields count="1">
    <dataField name="Sum of Grand Total" fld="7" baseField="0" numFmtId="2"/>
  </dataFields>
  <formats count="1">
    <format dxfId="0">
      <pivotArea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66B-FBA7-5341-908A-0D15D6151F32}">
  <dimension ref="A3:D138"/>
  <sheetViews>
    <sheetView tabSelected="1" workbookViewId="0">
      <selection activeCell="A2" sqref="A1:XFD2"/>
    </sheetView>
  </sheetViews>
  <sheetFormatPr baseColWidth="10" defaultRowHeight="16" x14ac:dyDescent="0.2"/>
  <cols>
    <col min="1" max="1" width="49.6640625" customWidth="1"/>
    <col min="2" max="2" width="16.5" customWidth="1"/>
    <col min="3" max="3" width="41" customWidth="1"/>
    <col min="4" max="4" width="23.83203125" customWidth="1"/>
  </cols>
  <sheetData>
    <row r="3" spans="1:4" x14ac:dyDescent="0.2">
      <c r="A3" s="10" t="s">
        <v>0</v>
      </c>
      <c r="B3" s="10" t="s">
        <v>1</v>
      </c>
      <c r="C3" s="10" t="s">
        <v>2</v>
      </c>
      <c r="D3" s="2" t="s">
        <v>3</v>
      </c>
    </row>
    <row r="4" spans="1:4" x14ac:dyDescent="0.2">
      <c r="A4" s="1" t="s">
        <v>4</v>
      </c>
      <c r="B4" s="1" t="s">
        <v>1</v>
      </c>
      <c r="C4" s="1" t="s">
        <v>5</v>
      </c>
      <c r="D4" s="3">
        <v>-6603.7999999999993</v>
      </c>
    </row>
    <row r="5" spans="1:4" x14ac:dyDescent="0.2">
      <c r="A5" s="4"/>
      <c r="B5" s="4"/>
      <c r="C5" s="5" t="s">
        <v>6</v>
      </c>
      <c r="D5" s="6">
        <v>0</v>
      </c>
    </row>
    <row r="6" spans="1:4" x14ac:dyDescent="0.2">
      <c r="A6" s="4"/>
      <c r="B6" s="4"/>
      <c r="C6" s="5" t="s">
        <v>7</v>
      </c>
      <c r="D6" s="6">
        <v>17.939999999999998</v>
      </c>
    </row>
    <row r="7" spans="1:4" x14ac:dyDescent="0.2">
      <c r="A7" s="4"/>
      <c r="B7" s="4"/>
      <c r="C7" s="5" t="s">
        <v>8</v>
      </c>
      <c r="D7" s="6">
        <v>1.69</v>
      </c>
    </row>
    <row r="8" spans="1:4" x14ac:dyDescent="0.2">
      <c r="A8" s="4"/>
      <c r="B8" s="4"/>
      <c r="C8" s="5" t="s">
        <v>9</v>
      </c>
      <c r="D8" s="6">
        <v>-16.97</v>
      </c>
    </row>
    <row r="9" spans="1:4" x14ac:dyDescent="0.2">
      <c r="A9" s="4"/>
      <c r="B9" s="4"/>
      <c r="C9" s="5" t="s">
        <v>10</v>
      </c>
      <c r="D9" s="6">
        <v>-10629</v>
      </c>
    </row>
    <row r="10" spans="1:4" x14ac:dyDescent="0.2">
      <c r="A10" s="1" t="s">
        <v>11</v>
      </c>
      <c r="B10" s="1" t="s">
        <v>1</v>
      </c>
      <c r="C10" s="1" t="s">
        <v>12</v>
      </c>
      <c r="D10" s="3">
        <v>12096.25</v>
      </c>
    </row>
    <row r="11" spans="1:4" x14ac:dyDescent="0.2">
      <c r="A11" s="4"/>
      <c r="B11" s="4"/>
      <c r="C11" s="5" t="s">
        <v>13</v>
      </c>
      <c r="D11" s="6">
        <v>-175451.34000000003</v>
      </c>
    </row>
    <row r="12" spans="1:4" x14ac:dyDescent="0.2">
      <c r="A12" s="4"/>
      <c r="B12" s="4"/>
      <c r="C12" s="5" t="s">
        <v>14</v>
      </c>
      <c r="D12" s="6">
        <v>-22443.19</v>
      </c>
    </row>
    <row r="13" spans="1:4" x14ac:dyDescent="0.2">
      <c r="A13" s="4"/>
      <c r="B13" s="4"/>
      <c r="C13" s="5" t="s">
        <v>15</v>
      </c>
      <c r="D13" s="6">
        <v>-72009.750000000029</v>
      </c>
    </row>
    <row r="14" spans="1:4" x14ac:dyDescent="0.2">
      <c r="A14" s="4"/>
      <c r="B14" s="4"/>
      <c r="C14" s="5" t="s">
        <v>16</v>
      </c>
      <c r="D14" s="6">
        <v>-1397.3200000000006</v>
      </c>
    </row>
    <row r="15" spans="1:4" x14ac:dyDescent="0.2">
      <c r="A15" s="4"/>
      <c r="B15" s="4"/>
      <c r="C15" s="5" t="s">
        <v>17</v>
      </c>
      <c r="D15" s="6">
        <v>-3310.3900000000003</v>
      </c>
    </row>
    <row r="16" spans="1:4" x14ac:dyDescent="0.2">
      <c r="A16" s="4"/>
      <c r="B16" s="4"/>
      <c r="C16" s="5" t="s">
        <v>18</v>
      </c>
      <c r="D16" s="6">
        <v>-4794.3899999999921</v>
      </c>
    </row>
    <row r="17" spans="1:4" x14ac:dyDescent="0.2">
      <c r="A17" s="4"/>
      <c r="B17" s="4"/>
      <c r="C17" s="5" t="s">
        <v>19</v>
      </c>
      <c r="D17" s="6">
        <v>-8776.69</v>
      </c>
    </row>
    <row r="18" spans="1:4" x14ac:dyDescent="0.2">
      <c r="A18" s="4"/>
      <c r="B18" s="4"/>
      <c r="C18" s="5" t="s">
        <v>7</v>
      </c>
      <c r="D18" s="6">
        <v>-1703.18</v>
      </c>
    </row>
    <row r="19" spans="1:4" x14ac:dyDescent="0.2">
      <c r="A19" s="4"/>
      <c r="B19" s="4"/>
      <c r="C19" s="5" t="s">
        <v>20</v>
      </c>
      <c r="D19" s="6">
        <v>-549.98</v>
      </c>
    </row>
    <row r="20" spans="1:4" x14ac:dyDescent="0.2">
      <c r="A20" s="1" t="s">
        <v>21</v>
      </c>
      <c r="B20" s="1" t="s">
        <v>1</v>
      </c>
      <c r="C20" s="1" t="s">
        <v>22</v>
      </c>
      <c r="D20" s="3">
        <v>-52838.55</v>
      </c>
    </row>
    <row r="21" spans="1:4" x14ac:dyDescent="0.2">
      <c r="A21" s="4"/>
      <c r="B21" s="4"/>
      <c r="C21" s="5" t="s">
        <v>5</v>
      </c>
      <c r="D21" s="6">
        <v>-37500</v>
      </c>
    </row>
    <row r="22" spans="1:4" x14ac:dyDescent="0.2">
      <c r="A22" s="4"/>
      <c r="B22" s="4"/>
      <c r="C22" s="5" t="s">
        <v>23</v>
      </c>
      <c r="D22" s="6">
        <v>-160430.75</v>
      </c>
    </row>
    <row r="23" spans="1:4" x14ac:dyDescent="0.2">
      <c r="A23" s="4"/>
      <c r="B23" s="4"/>
      <c r="C23" s="5" t="s">
        <v>24</v>
      </c>
      <c r="D23" s="6">
        <v>-3150</v>
      </c>
    </row>
    <row r="24" spans="1:4" x14ac:dyDescent="0.2">
      <c r="A24" s="4"/>
      <c r="B24" s="4"/>
      <c r="C24" s="5" t="s">
        <v>6</v>
      </c>
      <c r="D24" s="6">
        <v>-9316.9</v>
      </c>
    </row>
    <row r="25" spans="1:4" x14ac:dyDescent="0.2">
      <c r="A25" s="4"/>
      <c r="B25" s="4"/>
      <c r="C25" s="5" t="s">
        <v>13</v>
      </c>
      <c r="D25" s="6">
        <v>-314803.72999999986</v>
      </c>
    </row>
    <row r="26" spans="1:4" x14ac:dyDescent="0.2">
      <c r="A26" s="4"/>
      <c r="B26" s="4"/>
      <c r="C26" s="5" t="s">
        <v>14</v>
      </c>
      <c r="D26" s="6">
        <v>-61983.88</v>
      </c>
    </row>
    <row r="27" spans="1:4" x14ac:dyDescent="0.2">
      <c r="A27" s="4"/>
      <c r="B27" s="4"/>
      <c r="C27" s="5" t="s">
        <v>15</v>
      </c>
      <c r="D27" s="6">
        <v>-91198.159999999989</v>
      </c>
    </row>
    <row r="28" spans="1:4" x14ac:dyDescent="0.2">
      <c r="A28" s="4"/>
      <c r="B28" s="4"/>
      <c r="C28" s="5" t="s">
        <v>16</v>
      </c>
      <c r="D28" s="6">
        <v>-5128.7800000000007</v>
      </c>
    </row>
    <row r="29" spans="1:4" x14ac:dyDescent="0.2">
      <c r="A29" s="4"/>
      <c r="B29" s="4"/>
      <c r="C29" s="5" t="s">
        <v>17</v>
      </c>
      <c r="D29" s="6">
        <v>-6520.369999999999</v>
      </c>
    </row>
    <row r="30" spans="1:4" x14ac:dyDescent="0.2">
      <c r="A30" s="4"/>
      <c r="B30" s="4"/>
      <c r="C30" s="5" t="s">
        <v>18</v>
      </c>
      <c r="D30" s="6">
        <v>-9040.6400000000067</v>
      </c>
    </row>
    <row r="31" spans="1:4" x14ac:dyDescent="0.2">
      <c r="A31" s="4"/>
      <c r="B31" s="4"/>
      <c r="C31" s="5" t="s">
        <v>19</v>
      </c>
      <c r="D31" s="6">
        <v>-18576.610000000022</v>
      </c>
    </row>
    <row r="32" spans="1:4" x14ac:dyDescent="0.2">
      <c r="A32" s="4"/>
      <c r="B32" s="4"/>
      <c r="C32" s="5" t="s">
        <v>9</v>
      </c>
      <c r="D32" s="6">
        <v>-232.15</v>
      </c>
    </row>
    <row r="33" spans="1:4" x14ac:dyDescent="0.2">
      <c r="A33" s="4"/>
      <c r="B33" s="4"/>
      <c r="C33" s="5" t="s">
        <v>10</v>
      </c>
      <c r="D33" s="6">
        <v>-38668.140000000007</v>
      </c>
    </row>
    <row r="34" spans="1:4" x14ac:dyDescent="0.2">
      <c r="A34" s="4"/>
      <c r="B34" s="4"/>
      <c r="C34" s="5" t="s">
        <v>25</v>
      </c>
      <c r="D34" s="6">
        <v>-4782.9900000000016</v>
      </c>
    </row>
    <row r="35" spans="1:4" x14ac:dyDescent="0.2">
      <c r="A35" s="4"/>
      <c r="B35" s="4"/>
      <c r="C35" s="5" t="s">
        <v>26</v>
      </c>
      <c r="D35" s="6">
        <v>-40.81</v>
      </c>
    </row>
    <row r="36" spans="1:4" x14ac:dyDescent="0.2">
      <c r="A36" s="4"/>
      <c r="B36" s="4"/>
      <c r="C36" s="5" t="s">
        <v>20</v>
      </c>
      <c r="D36" s="6">
        <v>-1308.44</v>
      </c>
    </row>
    <row r="37" spans="1:4" x14ac:dyDescent="0.2">
      <c r="A37" s="1" t="s">
        <v>27</v>
      </c>
      <c r="B37" s="1" t="s">
        <v>28</v>
      </c>
      <c r="C37" s="1" t="s">
        <v>29</v>
      </c>
      <c r="D37" s="3">
        <v>242948.09999999998</v>
      </c>
    </row>
    <row r="38" spans="1:4" x14ac:dyDescent="0.2">
      <c r="A38" s="4"/>
      <c r="B38" s="4"/>
      <c r="C38" s="5" t="s">
        <v>30</v>
      </c>
      <c r="D38" s="6">
        <v>42339.93</v>
      </c>
    </row>
    <row r="39" spans="1:4" x14ac:dyDescent="0.2">
      <c r="A39" s="4"/>
      <c r="B39" s="4"/>
      <c r="C39" s="5" t="s">
        <v>31</v>
      </c>
      <c r="D39" s="6">
        <v>9900</v>
      </c>
    </row>
    <row r="40" spans="1:4" x14ac:dyDescent="0.2">
      <c r="A40" s="4"/>
      <c r="B40" s="4"/>
      <c r="C40" s="5" t="s">
        <v>32</v>
      </c>
      <c r="D40" s="6">
        <v>18911.519999999997</v>
      </c>
    </row>
    <row r="41" spans="1:4" x14ac:dyDescent="0.2">
      <c r="A41" s="4"/>
      <c r="B41" s="4"/>
      <c r="C41" s="5" t="s">
        <v>33</v>
      </c>
      <c r="D41" s="6">
        <v>6305.39</v>
      </c>
    </row>
    <row r="42" spans="1:4" x14ac:dyDescent="0.2">
      <c r="A42" s="4"/>
      <c r="B42" s="4"/>
      <c r="C42" s="5" t="s">
        <v>34</v>
      </c>
      <c r="D42" s="6">
        <v>34339.879999999997</v>
      </c>
    </row>
    <row r="43" spans="1:4" x14ac:dyDescent="0.2">
      <c r="A43" s="4"/>
      <c r="B43" s="4"/>
      <c r="C43" s="5" t="s">
        <v>35</v>
      </c>
      <c r="D43" s="6">
        <v>37034.07</v>
      </c>
    </row>
    <row r="44" spans="1:4" x14ac:dyDescent="0.2">
      <c r="A44" s="4"/>
      <c r="B44" s="4"/>
      <c r="C44" s="5" t="s">
        <v>36</v>
      </c>
      <c r="D44" s="6">
        <v>1921.1399999999999</v>
      </c>
    </row>
    <row r="45" spans="1:4" x14ac:dyDescent="0.2">
      <c r="A45" s="4"/>
      <c r="B45" s="4"/>
      <c r="C45" s="5" t="s">
        <v>37</v>
      </c>
      <c r="D45" s="6">
        <v>3429.37</v>
      </c>
    </row>
    <row r="46" spans="1:4" x14ac:dyDescent="0.2">
      <c r="A46" s="4"/>
      <c r="B46" s="4"/>
      <c r="C46" s="5" t="s">
        <v>38</v>
      </c>
      <c r="D46" s="6">
        <v>15573.63</v>
      </c>
    </row>
    <row r="47" spans="1:4" x14ac:dyDescent="0.2">
      <c r="A47" s="4"/>
      <c r="B47" s="4"/>
      <c r="C47" s="5" t="s">
        <v>39</v>
      </c>
      <c r="D47" s="6">
        <v>2660.2</v>
      </c>
    </row>
    <row r="48" spans="1:4" x14ac:dyDescent="0.2">
      <c r="A48" s="4"/>
      <c r="B48" s="4"/>
      <c r="C48" s="5" t="s">
        <v>40</v>
      </c>
      <c r="D48" s="6">
        <v>16705.350000000002</v>
      </c>
    </row>
    <row r="49" spans="1:4" x14ac:dyDescent="0.2">
      <c r="A49" s="4"/>
      <c r="B49" s="4"/>
      <c r="C49" s="5" t="s">
        <v>41</v>
      </c>
      <c r="D49" s="6">
        <v>3748.3999999999996</v>
      </c>
    </row>
    <row r="50" spans="1:4" x14ac:dyDescent="0.2">
      <c r="A50" s="4"/>
      <c r="B50" s="4"/>
      <c r="C50" s="5" t="s">
        <v>42</v>
      </c>
      <c r="D50" s="6">
        <v>978.09</v>
      </c>
    </row>
    <row r="51" spans="1:4" x14ac:dyDescent="0.2">
      <c r="A51" s="4"/>
      <c r="B51" s="4"/>
      <c r="C51" s="5" t="s">
        <v>43</v>
      </c>
      <c r="D51" s="6">
        <v>17377.379999999997</v>
      </c>
    </row>
    <row r="52" spans="1:4" x14ac:dyDescent="0.2">
      <c r="A52" s="4"/>
      <c r="B52" s="4"/>
      <c r="C52" s="5" t="s">
        <v>44</v>
      </c>
      <c r="D52" s="6">
        <v>2008.26</v>
      </c>
    </row>
    <row r="53" spans="1:4" x14ac:dyDescent="0.2">
      <c r="A53" s="4"/>
      <c r="B53" s="4"/>
      <c r="C53" s="5" t="s">
        <v>45</v>
      </c>
      <c r="D53" s="6">
        <v>3724.43</v>
      </c>
    </row>
    <row r="54" spans="1:4" x14ac:dyDescent="0.2">
      <c r="A54" s="4"/>
      <c r="B54" s="4"/>
      <c r="C54" s="5" t="s">
        <v>46</v>
      </c>
      <c r="D54" s="6">
        <v>18.5</v>
      </c>
    </row>
    <row r="55" spans="1:4" x14ac:dyDescent="0.2">
      <c r="A55" s="4"/>
      <c r="B55" s="4"/>
      <c r="C55" s="5" t="s">
        <v>12</v>
      </c>
      <c r="D55" s="6">
        <v>10092.6</v>
      </c>
    </row>
    <row r="56" spans="1:4" x14ac:dyDescent="0.2">
      <c r="A56" s="4"/>
      <c r="B56" s="4"/>
      <c r="C56" s="5" t="s">
        <v>47</v>
      </c>
      <c r="D56" s="6">
        <v>31681.259999999995</v>
      </c>
    </row>
    <row r="57" spans="1:4" x14ac:dyDescent="0.2">
      <c r="A57" s="4"/>
      <c r="B57" s="4"/>
      <c r="C57" s="5" t="s">
        <v>5</v>
      </c>
      <c r="D57" s="6">
        <v>-14.77</v>
      </c>
    </row>
    <row r="58" spans="1:4" x14ac:dyDescent="0.2">
      <c r="A58" s="1" t="s">
        <v>48</v>
      </c>
      <c r="B58" s="1" t="s">
        <v>28</v>
      </c>
      <c r="C58" s="1" t="s">
        <v>49</v>
      </c>
      <c r="D58" s="3">
        <v>145</v>
      </c>
    </row>
    <row r="59" spans="1:4" x14ac:dyDescent="0.2">
      <c r="A59" s="4"/>
      <c r="B59" s="4"/>
      <c r="C59" s="5" t="s">
        <v>29</v>
      </c>
      <c r="D59" s="6">
        <v>86581.32</v>
      </c>
    </row>
    <row r="60" spans="1:4" x14ac:dyDescent="0.2">
      <c r="A60" s="4"/>
      <c r="B60" s="4"/>
      <c r="C60" s="5" t="s">
        <v>30</v>
      </c>
      <c r="D60" s="6">
        <v>61081.450000000004</v>
      </c>
    </row>
    <row r="61" spans="1:4" x14ac:dyDescent="0.2">
      <c r="A61" s="4"/>
      <c r="B61" s="4"/>
      <c r="C61" s="5" t="s">
        <v>31</v>
      </c>
      <c r="D61" s="6">
        <v>37200</v>
      </c>
    </row>
    <row r="62" spans="1:4" x14ac:dyDescent="0.2">
      <c r="A62" s="4"/>
      <c r="B62" s="4"/>
      <c r="C62" s="5" t="s">
        <v>32</v>
      </c>
      <c r="D62" s="6">
        <v>60617</v>
      </c>
    </row>
    <row r="63" spans="1:4" x14ac:dyDescent="0.2">
      <c r="A63" s="4"/>
      <c r="B63" s="4"/>
      <c r="C63" s="5" t="s">
        <v>50</v>
      </c>
      <c r="D63" s="6">
        <v>21375</v>
      </c>
    </row>
    <row r="64" spans="1:4" x14ac:dyDescent="0.2">
      <c r="A64" s="4"/>
      <c r="B64" s="4"/>
      <c r="C64" s="5" t="s">
        <v>33</v>
      </c>
      <c r="D64" s="6">
        <v>37170</v>
      </c>
    </row>
    <row r="65" spans="1:4" x14ac:dyDescent="0.2">
      <c r="A65" s="4"/>
      <c r="B65" s="4"/>
      <c r="C65" s="5" t="s">
        <v>35</v>
      </c>
      <c r="D65" s="6">
        <v>8931.5300000000007</v>
      </c>
    </row>
    <row r="66" spans="1:4" x14ac:dyDescent="0.2">
      <c r="A66" s="4"/>
      <c r="B66" s="4"/>
      <c r="C66" s="5" t="s">
        <v>36</v>
      </c>
      <c r="D66" s="6">
        <v>41436.509999999995</v>
      </c>
    </row>
    <row r="67" spans="1:4" x14ac:dyDescent="0.2">
      <c r="A67" s="4"/>
      <c r="B67" s="4"/>
      <c r="C67" s="5" t="s">
        <v>37</v>
      </c>
      <c r="D67" s="6">
        <v>1360.66</v>
      </c>
    </row>
    <row r="68" spans="1:4" x14ac:dyDescent="0.2">
      <c r="A68" s="4"/>
      <c r="B68" s="4"/>
      <c r="C68" s="5" t="s">
        <v>51</v>
      </c>
      <c r="D68" s="6">
        <v>4814.8</v>
      </c>
    </row>
    <row r="69" spans="1:4" x14ac:dyDescent="0.2">
      <c r="A69" s="4"/>
      <c r="B69" s="4"/>
      <c r="C69" s="5" t="s">
        <v>52</v>
      </c>
      <c r="D69" s="6">
        <v>29173.439999999999</v>
      </c>
    </row>
    <row r="70" spans="1:4" x14ac:dyDescent="0.2">
      <c r="A70" s="4"/>
      <c r="B70" s="4"/>
      <c r="C70" s="5" t="s">
        <v>40</v>
      </c>
      <c r="D70" s="6">
        <v>208.99</v>
      </c>
    </row>
    <row r="71" spans="1:4" x14ac:dyDescent="0.2">
      <c r="A71" s="4"/>
      <c r="B71" s="4"/>
      <c r="C71" s="5" t="s">
        <v>41</v>
      </c>
      <c r="D71" s="6">
        <v>13279.62</v>
      </c>
    </row>
    <row r="72" spans="1:4" x14ac:dyDescent="0.2">
      <c r="A72" s="4"/>
      <c r="B72" s="4"/>
      <c r="C72" s="5" t="s">
        <v>42</v>
      </c>
      <c r="D72" s="6">
        <v>7016.7400000000007</v>
      </c>
    </row>
    <row r="73" spans="1:4" x14ac:dyDescent="0.2">
      <c r="A73" s="4"/>
      <c r="B73" s="4"/>
      <c r="C73" s="5" t="s">
        <v>43</v>
      </c>
      <c r="D73" s="6">
        <v>830.86</v>
      </c>
    </row>
    <row r="74" spans="1:4" x14ac:dyDescent="0.2">
      <c r="A74" s="4"/>
      <c r="B74" s="4"/>
      <c r="C74" s="5" t="s">
        <v>44</v>
      </c>
      <c r="D74" s="6">
        <v>10011.5</v>
      </c>
    </row>
    <row r="75" spans="1:4" x14ac:dyDescent="0.2">
      <c r="A75" s="4"/>
      <c r="B75" s="4"/>
      <c r="C75" s="5" t="s">
        <v>46</v>
      </c>
      <c r="D75" s="6">
        <v>119.36</v>
      </c>
    </row>
    <row r="76" spans="1:4" x14ac:dyDescent="0.2">
      <c r="A76" s="4"/>
      <c r="B76" s="4"/>
      <c r="C76" s="5" t="s">
        <v>53</v>
      </c>
      <c r="D76" s="6">
        <v>38172.720000000001</v>
      </c>
    </row>
    <row r="77" spans="1:4" x14ac:dyDescent="0.2">
      <c r="A77" s="4"/>
      <c r="B77" s="4"/>
      <c r="C77" s="5" t="s">
        <v>54</v>
      </c>
      <c r="D77" s="6">
        <v>1908.6299999999999</v>
      </c>
    </row>
    <row r="78" spans="1:4" x14ac:dyDescent="0.2">
      <c r="A78" s="1" t="s">
        <v>55</v>
      </c>
      <c r="B78" s="1" t="s">
        <v>28</v>
      </c>
      <c r="C78" s="1" t="s">
        <v>56</v>
      </c>
      <c r="D78" s="3">
        <v>8165.17</v>
      </c>
    </row>
    <row r="79" spans="1:4" x14ac:dyDescent="0.2">
      <c r="A79" s="4"/>
      <c r="B79" s="4"/>
      <c r="C79" s="5" t="s">
        <v>57</v>
      </c>
      <c r="D79" s="6">
        <v>5278.29</v>
      </c>
    </row>
    <row r="80" spans="1:4" x14ac:dyDescent="0.2">
      <c r="A80" s="4"/>
      <c r="B80" s="4"/>
      <c r="C80" s="5" t="s">
        <v>58</v>
      </c>
      <c r="D80" s="6">
        <v>32766</v>
      </c>
    </row>
    <row r="81" spans="1:4" x14ac:dyDescent="0.2">
      <c r="A81" s="4"/>
      <c r="B81" s="4"/>
      <c r="C81" s="5" t="s">
        <v>59</v>
      </c>
      <c r="D81" s="6">
        <v>140.55000000000001</v>
      </c>
    </row>
    <row r="82" spans="1:4" x14ac:dyDescent="0.2">
      <c r="A82" s="4"/>
      <c r="B82" s="4"/>
      <c r="C82" s="5" t="s">
        <v>49</v>
      </c>
      <c r="D82" s="6">
        <v>409.06</v>
      </c>
    </row>
    <row r="83" spans="1:4" x14ac:dyDescent="0.2">
      <c r="A83" s="4"/>
      <c r="B83" s="4"/>
      <c r="C83" s="5" t="s">
        <v>31</v>
      </c>
      <c r="D83" s="6">
        <v>2400</v>
      </c>
    </row>
    <row r="84" spans="1:4" x14ac:dyDescent="0.2">
      <c r="A84" s="4"/>
      <c r="B84" s="4"/>
      <c r="C84" s="5" t="s">
        <v>60</v>
      </c>
      <c r="D84" s="6">
        <v>6348.8</v>
      </c>
    </row>
    <row r="85" spans="1:4" x14ac:dyDescent="0.2">
      <c r="A85" s="4"/>
      <c r="B85" s="4"/>
      <c r="C85" s="5" t="s">
        <v>61</v>
      </c>
      <c r="D85" s="6">
        <v>32223.69</v>
      </c>
    </row>
    <row r="86" spans="1:4" x14ac:dyDescent="0.2">
      <c r="A86" s="4"/>
      <c r="B86" s="4"/>
      <c r="C86" s="5" t="s">
        <v>62</v>
      </c>
      <c r="D86" s="6">
        <v>1045.44</v>
      </c>
    </row>
    <row r="87" spans="1:4" x14ac:dyDescent="0.2">
      <c r="A87" s="4"/>
      <c r="B87" s="4"/>
      <c r="C87" s="5" t="s">
        <v>35</v>
      </c>
      <c r="D87" s="6">
        <v>15128.110000000002</v>
      </c>
    </row>
    <row r="88" spans="1:4" x14ac:dyDescent="0.2">
      <c r="A88" s="4"/>
      <c r="B88" s="4"/>
      <c r="C88" s="5" t="s">
        <v>63</v>
      </c>
      <c r="D88" s="6">
        <v>83022.080000000002</v>
      </c>
    </row>
    <row r="89" spans="1:4" x14ac:dyDescent="0.2">
      <c r="A89" s="4"/>
      <c r="B89" s="4"/>
      <c r="C89" s="5" t="s">
        <v>64</v>
      </c>
      <c r="D89" s="6">
        <v>1039.6399999999999</v>
      </c>
    </row>
    <row r="90" spans="1:4" x14ac:dyDescent="0.2">
      <c r="A90" s="4"/>
      <c r="B90" s="4"/>
      <c r="C90" s="5" t="s">
        <v>37</v>
      </c>
      <c r="D90" s="6">
        <v>732.8</v>
      </c>
    </row>
    <row r="91" spans="1:4" x14ac:dyDescent="0.2">
      <c r="A91" s="4"/>
      <c r="B91" s="4"/>
      <c r="C91" s="5" t="s">
        <v>65</v>
      </c>
      <c r="D91" s="6">
        <v>4407.2699999999995</v>
      </c>
    </row>
    <row r="92" spans="1:4" x14ac:dyDescent="0.2">
      <c r="A92" s="4"/>
      <c r="B92" s="4"/>
      <c r="C92" s="5" t="s">
        <v>38</v>
      </c>
      <c r="D92" s="6">
        <v>3165</v>
      </c>
    </row>
    <row r="93" spans="1:4" x14ac:dyDescent="0.2">
      <c r="A93" s="4"/>
      <c r="B93" s="4"/>
      <c r="C93" s="5" t="s">
        <v>39</v>
      </c>
      <c r="D93" s="6">
        <v>2800</v>
      </c>
    </row>
    <row r="94" spans="1:4" x14ac:dyDescent="0.2">
      <c r="A94" s="4"/>
      <c r="B94" s="4"/>
      <c r="C94" s="5" t="s">
        <v>52</v>
      </c>
      <c r="D94" s="6">
        <v>1137.3</v>
      </c>
    </row>
    <row r="95" spans="1:4" x14ac:dyDescent="0.2">
      <c r="A95" s="4"/>
      <c r="B95" s="4"/>
      <c r="C95" s="5" t="s">
        <v>44</v>
      </c>
      <c r="D95" s="6">
        <v>309.95000000000005</v>
      </c>
    </row>
    <row r="96" spans="1:4" x14ac:dyDescent="0.2">
      <c r="A96" s="4"/>
      <c r="B96" s="4"/>
      <c r="C96" s="5" t="s">
        <v>66</v>
      </c>
      <c r="D96" s="6">
        <v>177.60000000000002</v>
      </c>
    </row>
    <row r="97" spans="1:4" x14ac:dyDescent="0.2">
      <c r="A97" s="4"/>
      <c r="B97" s="4"/>
      <c r="C97" s="5" t="s">
        <v>67</v>
      </c>
      <c r="D97" s="6">
        <v>1316.79</v>
      </c>
    </row>
    <row r="98" spans="1:4" x14ac:dyDescent="0.2">
      <c r="A98" s="4"/>
      <c r="B98" s="4"/>
      <c r="C98" s="5" t="s">
        <v>68</v>
      </c>
      <c r="D98" s="6">
        <v>125</v>
      </c>
    </row>
    <row r="99" spans="1:4" x14ac:dyDescent="0.2">
      <c r="A99" s="4"/>
      <c r="B99" s="4"/>
      <c r="C99" s="5" t="s">
        <v>45</v>
      </c>
      <c r="D99" s="6">
        <v>14015.3</v>
      </c>
    </row>
    <row r="100" spans="1:4" x14ac:dyDescent="0.2">
      <c r="A100" s="4"/>
      <c r="B100" s="4"/>
      <c r="C100" s="5" t="s">
        <v>46</v>
      </c>
      <c r="D100" s="6">
        <v>2756.37</v>
      </c>
    </row>
    <row r="101" spans="1:4" x14ac:dyDescent="0.2">
      <c r="A101" s="1" t="s">
        <v>69</v>
      </c>
      <c r="B101" s="1" t="s">
        <v>1</v>
      </c>
      <c r="C101" s="1" t="s">
        <v>5</v>
      </c>
      <c r="D101" s="3">
        <v>-272703.03000000003</v>
      </c>
    </row>
    <row r="102" spans="1:4" x14ac:dyDescent="0.2">
      <c r="A102" s="4"/>
      <c r="B102" s="4"/>
      <c r="C102" s="5" t="s">
        <v>24</v>
      </c>
      <c r="D102" s="6">
        <v>-3252.87</v>
      </c>
    </row>
    <row r="103" spans="1:4" x14ac:dyDescent="0.2">
      <c r="A103" s="4"/>
      <c r="B103" s="4"/>
      <c r="C103" s="5" t="s">
        <v>6</v>
      </c>
      <c r="D103" s="6">
        <v>-7010.45</v>
      </c>
    </row>
    <row r="104" spans="1:4" x14ac:dyDescent="0.2">
      <c r="A104" s="4"/>
      <c r="B104" s="4"/>
      <c r="C104" s="5" t="s">
        <v>13</v>
      </c>
      <c r="D104" s="6">
        <v>-234587.37000000017</v>
      </c>
    </row>
    <row r="105" spans="1:4" x14ac:dyDescent="0.2">
      <c r="A105" s="4"/>
      <c r="B105" s="4"/>
      <c r="C105" s="5" t="s">
        <v>14</v>
      </c>
      <c r="D105" s="6">
        <v>-97058.090000000026</v>
      </c>
    </row>
    <row r="106" spans="1:4" x14ac:dyDescent="0.2">
      <c r="A106" s="4"/>
      <c r="B106" s="4"/>
      <c r="C106" s="5" t="s">
        <v>15</v>
      </c>
      <c r="D106" s="6">
        <v>-58907.650000000009</v>
      </c>
    </row>
    <row r="107" spans="1:4" x14ac:dyDescent="0.2">
      <c r="A107" s="4"/>
      <c r="B107" s="4"/>
      <c r="C107" s="5" t="s">
        <v>16</v>
      </c>
      <c r="D107" s="6">
        <v>-18107.330000000002</v>
      </c>
    </row>
    <row r="108" spans="1:4" x14ac:dyDescent="0.2">
      <c r="A108" s="4"/>
      <c r="B108" s="4"/>
      <c r="C108" s="5" t="s">
        <v>17</v>
      </c>
      <c r="D108" s="6">
        <v>-25033.280000000002</v>
      </c>
    </row>
    <row r="109" spans="1:4" x14ac:dyDescent="0.2">
      <c r="A109" s="4"/>
      <c r="B109" s="4"/>
      <c r="C109" s="5" t="s">
        <v>18</v>
      </c>
      <c r="D109" s="6">
        <v>-8621.4599999999809</v>
      </c>
    </row>
    <row r="110" spans="1:4" x14ac:dyDescent="0.2">
      <c r="A110" s="4"/>
      <c r="B110" s="4"/>
      <c r="C110" s="5" t="s">
        <v>19</v>
      </c>
      <c r="D110" s="6">
        <v>-12713.980000000014</v>
      </c>
    </row>
    <row r="111" spans="1:4" x14ac:dyDescent="0.2">
      <c r="A111" s="4"/>
      <c r="B111" s="4"/>
      <c r="C111" s="5" t="s">
        <v>9</v>
      </c>
      <c r="D111" s="6">
        <v>-463.47999999999996</v>
      </c>
    </row>
    <row r="112" spans="1:4" x14ac:dyDescent="0.2">
      <c r="A112" s="4"/>
      <c r="B112" s="4"/>
      <c r="C112" s="5" t="s">
        <v>10</v>
      </c>
      <c r="D112" s="6">
        <v>-41195</v>
      </c>
    </row>
    <row r="113" spans="1:4" x14ac:dyDescent="0.2">
      <c r="A113" s="4"/>
      <c r="B113" s="4"/>
      <c r="C113" s="5" t="s">
        <v>70</v>
      </c>
      <c r="D113" s="6">
        <v>-2785.3500000000004</v>
      </c>
    </row>
    <row r="114" spans="1:4" x14ac:dyDescent="0.2">
      <c r="A114" s="4"/>
      <c r="B114" s="4"/>
      <c r="C114" s="5" t="s">
        <v>71</v>
      </c>
      <c r="D114" s="6">
        <v>-1962.8200000000004</v>
      </c>
    </row>
    <row r="115" spans="1:4" x14ac:dyDescent="0.2">
      <c r="A115" s="4"/>
      <c r="B115" s="4"/>
      <c r="C115" s="5" t="s">
        <v>20</v>
      </c>
      <c r="D115" s="6">
        <v>-1583.79</v>
      </c>
    </row>
    <row r="116" spans="1:4" x14ac:dyDescent="0.2">
      <c r="A116" s="4"/>
      <c r="B116" s="1" t="s">
        <v>72</v>
      </c>
      <c r="C116" s="1" t="s">
        <v>73</v>
      </c>
      <c r="D116" s="3">
        <v>314366.40000000002</v>
      </c>
    </row>
    <row r="117" spans="1:4" x14ac:dyDescent="0.2">
      <c r="A117" s="4"/>
      <c r="B117" s="4"/>
      <c r="C117" s="5" t="s">
        <v>74</v>
      </c>
      <c r="D117" s="6">
        <v>-105116.37000000001</v>
      </c>
    </row>
    <row r="118" spans="1:4" x14ac:dyDescent="0.2">
      <c r="A118" s="4"/>
      <c r="B118" s="4"/>
      <c r="C118" s="5" t="s">
        <v>75</v>
      </c>
      <c r="D118" s="6">
        <v>6564.39</v>
      </c>
    </row>
    <row r="119" spans="1:4" x14ac:dyDescent="0.2">
      <c r="A119" s="4"/>
      <c r="B119" s="4"/>
      <c r="C119" s="5" t="s">
        <v>76</v>
      </c>
      <c r="D119" s="6">
        <v>5334113.5599999987</v>
      </c>
    </row>
    <row r="120" spans="1:4" x14ac:dyDescent="0.2">
      <c r="A120" s="4"/>
      <c r="B120" s="4"/>
      <c r="C120" s="5" t="s">
        <v>77</v>
      </c>
      <c r="D120" s="6">
        <v>1088.03</v>
      </c>
    </row>
    <row r="121" spans="1:4" x14ac:dyDescent="0.2">
      <c r="A121" s="4"/>
      <c r="B121" s="4"/>
      <c r="C121" s="5" t="s">
        <v>78</v>
      </c>
      <c r="D121" s="6">
        <v>432</v>
      </c>
    </row>
    <row r="122" spans="1:4" x14ac:dyDescent="0.2">
      <c r="A122" s="4"/>
      <c r="B122" s="4"/>
      <c r="C122" s="5" t="s">
        <v>79</v>
      </c>
      <c r="D122" s="6">
        <v>-495299.7900000001</v>
      </c>
    </row>
    <row r="123" spans="1:4" x14ac:dyDescent="0.2">
      <c r="A123" s="4"/>
      <c r="B123" s="4"/>
      <c r="C123" s="5" t="s">
        <v>80</v>
      </c>
      <c r="D123" s="6">
        <v>1595680.56</v>
      </c>
    </row>
    <row r="124" spans="1:4" x14ac:dyDescent="0.2">
      <c r="A124" s="4"/>
      <c r="B124" s="4"/>
      <c r="C124" s="5" t="s">
        <v>47</v>
      </c>
      <c r="D124" s="6">
        <v>502.37</v>
      </c>
    </row>
    <row r="125" spans="1:4" x14ac:dyDescent="0.2">
      <c r="A125" s="4"/>
      <c r="B125" s="4"/>
      <c r="C125" s="5" t="s">
        <v>81</v>
      </c>
      <c r="D125" s="6">
        <v>-14204300.479999997</v>
      </c>
    </row>
    <row r="126" spans="1:4" x14ac:dyDescent="0.2">
      <c r="A126" s="4"/>
      <c r="B126" s="4"/>
      <c r="C126" s="5" t="s">
        <v>82</v>
      </c>
      <c r="D126" s="6">
        <v>-4290166.3299999991</v>
      </c>
    </row>
    <row r="127" spans="1:4" x14ac:dyDescent="0.2">
      <c r="A127" s="4"/>
      <c r="B127" s="4"/>
      <c r="C127" s="5" t="s">
        <v>83</v>
      </c>
      <c r="D127" s="6">
        <v>-724747.51</v>
      </c>
    </row>
    <row r="128" spans="1:4" x14ac:dyDescent="0.2">
      <c r="A128" s="4"/>
      <c r="B128" s="4"/>
      <c r="C128" s="5" t="s">
        <v>84</v>
      </c>
      <c r="D128" s="6">
        <v>-21329.129999999997</v>
      </c>
    </row>
    <row r="129" spans="1:4" x14ac:dyDescent="0.2">
      <c r="A129" s="4"/>
      <c r="B129" s="4"/>
      <c r="C129" s="5" t="s">
        <v>85</v>
      </c>
      <c r="D129" s="6">
        <v>-41331.47</v>
      </c>
    </row>
    <row r="130" spans="1:4" x14ac:dyDescent="0.2">
      <c r="A130" s="4"/>
      <c r="B130" s="4"/>
      <c r="C130" s="5" t="s">
        <v>86</v>
      </c>
      <c r="D130" s="6">
        <v>-29139.360000000004</v>
      </c>
    </row>
    <row r="131" spans="1:4" x14ac:dyDescent="0.2">
      <c r="A131" s="4"/>
      <c r="B131" s="1" t="s">
        <v>28</v>
      </c>
      <c r="C131" s="1" t="s">
        <v>87</v>
      </c>
      <c r="D131" s="3">
        <v>37250</v>
      </c>
    </row>
    <row r="132" spans="1:4" x14ac:dyDescent="0.2">
      <c r="A132" s="4"/>
      <c r="B132" s="4"/>
      <c r="C132" s="5" t="s">
        <v>88</v>
      </c>
      <c r="D132" s="6">
        <v>82.4</v>
      </c>
    </row>
    <row r="133" spans="1:4" x14ac:dyDescent="0.2">
      <c r="A133" s="4"/>
      <c r="B133" s="4"/>
      <c r="C133" s="5" t="s">
        <v>89</v>
      </c>
      <c r="D133" s="6">
        <v>268235.56</v>
      </c>
    </row>
    <row r="134" spans="1:4" x14ac:dyDescent="0.2">
      <c r="A134" s="4"/>
      <c r="B134" s="4"/>
      <c r="C134" s="5" t="s">
        <v>90</v>
      </c>
      <c r="D134" s="6">
        <v>-102084.21999999997</v>
      </c>
    </row>
    <row r="135" spans="1:4" x14ac:dyDescent="0.2">
      <c r="A135" s="4"/>
      <c r="B135" s="4"/>
      <c r="C135" s="5" t="s">
        <v>91</v>
      </c>
      <c r="D135" s="6">
        <v>-120372.46999999997</v>
      </c>
    </row>
    <row r="136" spans="1:4" x14ac:dyDescent="0.2">
      <c r="A136" s="4"/>
      <c r="B136" s="4"/>
      <c r="C136" s="5" t="s">
        <v>92</v>
      </c>
      <c r="D136" s="6">
        <v>-8650.3500000000022</v>
      </c>
    </row>
    <row r="137" spans="1:4" x14ac:dyDescent="0.2">
      <c r="A137" s="4"/>
      <c r="B137" s="4"/>
      <c r="C137" s="5" t="s">
        <v>93</v>
      </c>
      <c r="D137" s="6">
        <v>-1386.8</v>
      </c>
    </row>
    <row r="138" spans="1:4" x14ac:dyDescent="0.2">
      <c r="A138" s="7"/>
      <c r="B138" s="7"/>
      <c r="C138" s="8" t="s">
        <v>74</v>
      </c>
      <c r="D138" s="9">
        <v>58934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Dmitrii Beliakov</dc:creator>
  <cp:lastModifiedBy>Dmitrii Beliakov</cp:lastModifiedBy>
  <dcterms:created xsi:type="dcterms:W3CDTF">2026-01-29T16:59:43Z</dcterms:created>
  <dcterms:modified xsi:type="dcterms:W3CDTF">2026-01-29T17:00:36Z</dcterms:modified>
</cp:coreProperties>
</file>